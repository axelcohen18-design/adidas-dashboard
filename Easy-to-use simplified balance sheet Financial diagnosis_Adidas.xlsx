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grego\Downloads\"/>
    </mc:Choice>
  </mc:AlternateContent>
  <xr:revisionPtr revIDLastSave="4" documentId="8_{D3577277-22D4-410F-AC72-5610A972769C}" xr6:coauthVersionLast="47" xr6:coauthVersionMax="47" xr10:uidLastSave="{BB14FDA8-EFCF-470F-89D4-74483105BC53}"/>
  <bookViews>
    <workbookView xWindow="-108" yWindow="-108" windowWidth="23256" windowHeight="12456" xr2:uid="{00000000-000D-0000-FFFF-FFFF00000000}"/>
  </bookViews>
  <sheets>
    <sheet name="Balance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19" i="1"/>
  <c r="C16" i="1"/>
  <c r="C25" i="1" s="1"/>
  <c r="C10" i="1"/>
  <c r="C11" i="1" s="1"/>
  <c r="C5" i="1"/>
  <c r="D5" i="1"/>
  <c r="D24" i="1"/>
  <c r="D19" i="1"/>
  <c r="D16" i="1"/>
  <c r="D10" i="1"/>
  <c r="F5" i="1"/>
  <c r="G5" i="1"/>
  <c r="H5" i="1"/>
  <c r="H11" i="1" s="1"/>
  <c r="E5" i="1"/>
  <c r="F24" i="1"/>
  <c r="G24" i="1"/>
  <c r="H24" i="1"/>
  <c r="E24" i="1"/>
  <c r="F19" i="1"/>
  <c r="G19" i="1"/>
  <c r="H19" i="1"/>
  <c r="E19" i="1"/>
  <c r="F16" i="1"/>
  <c r="F25" i="1" s="1"/>
  <c r="G16" i="1"/>
  <c r="G25" i="1" s="1"/>
  <c r="H16" i="1"/>
  <c r="H25" i="1" s="1"/>
  <c r="E16" i="1"/>
  <c r="E25" i="1" s="1"/>
  <c r="F10" i="1"/>
  <c r="F11" i="1" s="1"/>
  <c r="G10" i="1"/>
  <c r="H10" i="1"/>
  <c r="E10" i="1"/>
  <c r="G11" i="1"/>
  <c r="E11" i="1" l="1"/>
  <c r="D11" i="1"/>
  <c r="D25" i="1"/>
</calcChain>
</file>

<file path=xl/sharedStrings.xml><?xml version="1.0" encoding="utf-8"?>
<sst xmlns="http://schemas.openxmlformats.org/spreadsheetml/2006/main" count="26" uniqueCount="25">
  <si>
    <t>Balance sheet</t>
  </si>
  <si>
    <t>Q1 - 2026</t>
  </si>
  <si>
    <t>Intangible assets</t>
  </si>
  <si>
    <t>Property, plant and equipment</t>
  </si>
  <si>
    <t>Other non-current assets</t>
  </si>
  <si>
    <t>Total non-current assets</t>
  </si>
  <si>
    <t>Inventories</t>
  </si>
  <si>
    <t>Accounts receivable</t>
  </si>
  <si>
    <t>Other current assets</t>
  </si>
  <si>
    <t>Cash and cash equivalents</t>
  </si>
  <si>
    <t>Total current assets</t>
  </si>
  <si>
    <t>Total assets</t>
  </si>
  <si>
    <t>Issued share capital</t>
  </si>
  <si>
    <t>Capital &amp; Other reserves</t>
  </si>
  <si>
    <t>Equity portion of convertible debt</t>
  </si>
  <si>
    <t>Retained earnings</t>
  </si>
  <si>
    <t>Total equity</t>
  </si>
  <si>
    <t>Borrowings &amp; similar liabilities</t>
  </si>
  <si>
    <t>Other non-current liabilities</t>
  </si>
  <si>
    <t>Total non-current liabilities</t>
  </si>
  <si>
    <t>Accounts payable</t>
  </si>
  <si>
    <t>Bank overdraft</t>
  </si>
  <si>
    <t>Other current liabilities</t>
  </si>
  <si>
    <t>Total current liabilities</t>
  </si>
  <si>
    <t>Total equity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</si>
</sst>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3" fillId="0" borderId="4" xfId="0" applyFont="1" applyBorder="1" applyAlignment="1">
      <alignment vertical="center"/>
    </xf>
    <xf numFmtId="0" fontId="1" fillId="2" borderId="0" xfId="0" applyFont="1" applyFill="1"/>
    <xf numFmtId="164" fontId="2" fillId="0" borderId="2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4" fillId="0" borderId="2" xfId="0" applyNumberFormat="1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15241</xdr:rowOff>
    </xdr:from>
    <xdr:to>
      <xdr:col>0</xdr:col>
      <xdr:colOff>729971</xdr:colOff>
      <xdr:row>19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E3EC72-0A40-4BB2-9559-A4657007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934224" y="1863866"/>
          <a:ext cx="2598419" cy="729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27" sqref="A27"/>
    </sheetView>
  </sheetViews>
  <sheetFormatPr defaultRowHeight="14.45"/>
  <cols>
    <col min="1" max="1" width="11.28515625" customWidth="1"/>
    <col min="2" max="2" width="28.7109375" bestFit="1" customWidth="1"/>
    <col min="3" max="4" width="14.7109375" bestFit="1" customWidth="1"/>
    <col min="5" max="8" width="15.85546875" bestFit="1" customWidth="1"/>
  </cols>
  <sheetData>
    <row r="1" spans="1:8">
      <c r="A1" s="11"/>
      <c r="B1" s="6" t="s">
        <v>0</v>
      </c>
      <c r="C1" s="6" t="s">
        <v>1</v>
      </c>
      <c r="D1" s="6">
        <v>2025</v>
      </c>
      <c r="E1" s="6">
        <v>2024</v>
      </c>
      <c r="F1" s="6">
        <v>2023</v>
      </c>
      <c r="G1" s="6">
        <v>2022</v>
      </c>
      <c r="H1" s="6">
        <v>2021</v>
      </c>
    </row>
    <row r="2" spans="1:8">
      <c r="A2" s="11"/>
      <c r="B2" s="1" t="s">
        <v>2</v>
      </c>
      <c r="C2" s="7"/>
      <c r="D2" s="7"/>
      <c r="E2" s="7">
        <v>1701000</v>
      </c>
      <c r="F2" s="7">
        <v>1680000</v>
      </c>
      <c r="G2" s="7">
        <v>1689000</v>
      </c>
      <c r="H2" s="7">
        <v>1581000</v>
      </c>
    </row>
    <row r="3" spans="1:8">
      <c r="A3" s="11"/>
      <c r="B3" s="1" t="s">
        <v>3</v>
      </c>
      <c r="C3" s="7"/>
      <c r="D3" s="7"/>
      <c r="E3" s="7">
        <v>4912000</v>
      </c>
      <c r="F3" s="7">
        <v>4405000</v>
      </c>
      <c r="G3" s="7">
        <v>4943000</v>
      </c>
      <c r="H3" s="7">
        <v>4825000</v>
      </c>
    </row>
    <row r="4" spans="1:8">
      <c r="A4" s="11"/>
      <c r="B4" s="1" t="s">
        <v>4</v>
      </c>
      <c r="C4" s="7"/>
      <c r="D4" s="7"/>
      <c r="E4" s="7">
        <v>2138000</v>
      </c>
      <c r="F4" s="7">
        <v>2126000</v>
      </c>
      <c r="G4" s="7">
        <v>1931000</v>
      </c>
      <c r="H4" s="7">
        <v>1787000</v>
      </c>
    </row>
    <row r="5" spans="1:8">
      <c r="A5" s="11"/>
      <c r="B5" s="2" t="s">
        <v>5</v>
      </c>
      <c r="C5" s="8">
        <f>C2+C3+C4</f>
        <v>0</v>
      </c>
      <c r="D5" s="8">
        <f>D2+D3+D4</f>
        <v>0</v>
      </c>
      <c r="E5" s="8">
        <f>E2+E3+E4</f>
        <v>8751000</v>
      </c>
      <c r="F5" s="8">
        <f t="shared" ref="F5:H5" si="0">F2+F3+F4</f>
        <v>8211000</v>
      </c>
      <c r="G5" s="8">
        <f t="shared" si="0"/>
        <v>8563000</v>
      </c>
      <c r="H5" s="8">
        <f t="shared" si="0"/>
        <v>8193000</v>
      </c>
    </row>
    <row r="6" spans="1:8">
      <c r="A6" s="11"/>
      <c r="B6" s="1" t="s">
        <v>6</v>
      </c>
      <c r="C6" s="7"/>
      <c r="D6" s="7"/>
      <c r="E6" s="7">
        <v>4989000</v>
      </c>
      <c r="F6" s="7">
        <v>4525000</v>
      </c>
      <c r="G6" s="7">
        <v>5973000</v>
      </c>
      <c r="H6" s="7">
        <v>4009000</v>
      </c>
    </row>
    <row r="7" spans="1:8">
      <c r="A7" s="11"/>
      <c r="B7" s="1" t="s">
        <v>7</v>
      </c>
      <c r="C7" s="7"/>
      <c r="D7" s="7"/>
      <c r="E7" s="7">
        <v>3145000</v>
      </c>
      <c r="F7" s="7">
        <v>2903000</v>
      </c>
      <c r="G7" s="7">
        <v>1862000</v>
      </c>
      <c r="H7" s="7">
        <v>3015000</v>
      </c>
    </row>
    <row r="8" spans="1:8">
      <c r="A8" s="11"/>
      <c r="B8" s="1" t="s">
        <v>8</v>
      </c>
      <c r="C8" s="7"/>
      <c r="D8" s="7"/>
      <c r="E8" s="7">
        <v>1640000</v>
      </c>
      <c r="F8" s="7">
        <v>1161000</v>
      </c>
      <c r="G8" s="7">
        <v>3099000</v>
      </c>
      <c r="H8" s="7">
        <v>3092000</v>
      </c>
    </row>
    <row r="9" spans="1:8">
      <c r="A9" s="11"/>
      <c r="B9" s="1" t="s">
        <v>9</v>
      </c>
      <c r="C9" s="7"/>
      <c r="D9" s="7"/>
      <c r="E9" s="7">
        <v>2130000</v>
      </c>
      <c r="F9" s="7">
        <v>1220000</v>
      </c>
      <c r="G9" s="7">
        <v>798000</v>
      </c>
      <c r="H9" s="7">
        <v>3828000</v>
      </c>
    </row>
    <row r="10" spans="1:8">
      <c r="A10" s="11"/>
      <c r="B10" s="2" t="s">
        <v>10</v>
      </c>
      <c r="C10" s="8">
        <f>SUM(C6:C9)</f>
        <v>0</v>
      </c>
      <c r="D10" s="8">
        <f>SUM(D6:D9)</f>
        <v>0</v>
      </c>
      <c r="E10" s="8">
        <f>SUM(E6:E9)</f>
        <v>11904000</v>
      </c>
      <c r="F10" s="8">
        <f t="shared" ref="F10:H10" si="1">SUM(F6:F9)</f>
        <v>9809000</v>
      </c>
      <c r="G10" s="8">
        <f t="shared" si="1"/>
        <v>11732000</v>
      </c>
      <c r="H10" s="8">
        <f t="shared" si="1"/>
        <v>13944000</v>
      </c>
    </row>
    <row r="11" spans="1:8" ht="15" customHeight="1" thickBot="1">
      <c r="A11" s="11"/>
      <c r="B11" s="2" t="s">
        <v>11</v>
      </c>
      <c r="C11" s="9">
        <f>C5+C10</f>
        <v>0</v>
      </c>
      <c r="D11" s="9">
        <f>D5+D10</f>
        <v>0</v>
      </c>
      <c r="E11" s="9">
        <f>E5+E10</f>
        <v>20655000</v>
      </c>
      <c r="F11" s="9">
        <f t="shared" ref="F11:H11" si="2">F5+F10</f>
        <v>18020000</v>
      </c>
      <c r="G11" s="9">
        <f t="shared" si="2"/>
        <v>20295000</v>
      </c>
      <c r="H11" s="9">
        <f t="shared" si="2"/>
        <v>22137000</v>
      </c>
    </row>
    <row r="12" spans="1:8" ht="15" customHeight="1" thickTop="1">
      <c r="A12" s="11"/>
      <c r="B12" s="1" t="s">
        <v>12</v>
      </c>
      <c r="C12" s="7"/>
      <c r="D12" s="7"/>
      <c r="E12" s="7">
        <v>179000</v>
      </c>
      <c r="F12" s="7">
        <v>179000</v>
      </c>
      <c r="G12" s="7">
        <v>179000</v>
      </c>
      <c r="H12" s="7">
        <v>192000</v>
      </c>
    </row>
    <row r="13" spans="1:8">
      <c r="A13" s="11"/>
      <c r="B13" s="3" t="s">
        <v>13</v>
      </c>
      <c r="C13" s="7"/>
      <c r="D13" s="7"/>
      <c r="E13" s="7">
        <v>914000</v>
      </c>
      <c r="F13" s="7">
        <v>601000</v>
      </c>
      <c r="G13" s="7">
        <v>825000</v>
      </c>
      <c r="H13" s="7">
        <v>785000</v>
      </c>
    </row>
    <row r="14" spans="1:8">
      <c r="A14" s="11"/>
      <c r="B14" s="3" t="s">
        <v>14</v>
      </c>
      <c r="C14" s="7"/>
      <c r="D14" s="7"/>
      <c r="E14" s="7">
        <v>0</v>
      </c>
      <c r="F14" s="7">
        <v>0</v>
      </c>
      <c r="G14" s="7">
        <v>0</v>
      </c>
      <c r="H14" s="7">
        <v>0</v>
      </c>
    </row>
    <row r="15" spans="1:8">
      <c r="A15" s="11"/>
      <c r="B15" s="1" t="s">
        <v>15</v>
      </c>
      <c r="C15" s="7"/>
      <c r="D15" s="7"/>
      <c r="E15" s="7">
        <v>4775000</v>
      </c>
      <c r="F15" s="7">
        <v>4145000</v>
      </c>
      <c r="G15" s="7">
        <v>4347000</v>
      </c>
      <c r="H15" s="7">
        <v>6860000</v>
      </c>
    </row>
    <row r="16" spans="1:8">
      <c r="A16" s="11"/>
      <c r="B16" s="2" t="s">
        <v>16</v>
      </c>
      <c r="C16" s="8">
        <f>SUM(C12:C15)</f>
        <v>0</v>
      </c>
      <c r="D16" s="8">
        <f>SUM(D12:D15)</f>
        <v>0</v>
      </c>
      <c r="E16" s="8">
        <f>SUM(E12:E15)</f>
        <v>5868000</v>
      </c>
      <c r="F16" s="8">
        <f t="shared" ref="F16:H16" si="3">SUM(F12:F15)</f>
        <v>4925000</v>
      </c>
      <c r="G16" s="8">
        <f t="shared" si="3"/>
        <v>5351000</v>
      </c>
      <c r="H16" s="8">
        <f t="shared" si="3"/>
        <v>7837000</v>
      </c>
    </row>
    <row r="17" spans="1:8">
      <c r="A17" s="11"/>
      <c r="B17" s="1" t="s">
        <v>17</v>
      </c>
      <c r="C17" s="7"/>
      <c r="D17" s="7"/>
      <c r="E17" s="7">
        <v>4410000</v>
      </c>
      <c r="F17" s="7">
        <v>4469000</v>
      </c>
      <c r="G17" s="7">
        <v>5289000</v>
      </c>
      <c r="H17" s="7">
        <v>4729000</v>
      </c>
    </row>
    <row r="18" spans="1:8">
      <c r="A18" s="11"/>
      <c r="B18" s="1" t="s">
        <v>18</v>
      </c>
      <c r="C18" s="7"/>
      <c r="D18" s="7"/>
      <c r="E18" s="7">
        <v>784000</v>
      </c>
      <c r="F18" s="7">
        <v>583000</v>
      </c>
      <c r="G18" s="7">
        <v>399000</v>
      </c>
      <c r="H18" s="7">
        <v>606000</v>
      </c>
    </row>
    <row r="19" spans="1:8">
      <c r="A19" s="11"/>
      <c r="B19" s="2" t="s">
        <v>19</v>
      </c>
      <c r="C19" s="8">
        <f>SUM(C17:C18)</f>
        <v>0</v>
      </c>
      <c r="D19" s="8">
        <f>SUM(D17:D18)</f>
        <v>0</v>
      </c>
      <c r="E19" s="8">
        <f>SUM(E17:E18)</f>
        <v>5194000</v>
      </c>
      <c r="F19" s="8">
        <f t="shared" ref="F19:H19" si="4">SUM(F17:F18)</f>
        <v>5052000</v>
      </c>
      <c r="G19" s="8">
        <f t="shared" si="4"/>
        <v>5688000</v>
      </c>
      <c r="H19" s="8">
        <f t="shared" si="4"/>
        <v>5335000</v>
      </c>
    </row>
    <row r="20" spans="1:8">
      <c r="A20" s="11"/>
      <c r="B20" s="1" t="s">
        <v>20</v>
      </c>
      <c r="C20" s="7"/>
      <c r="D20" s="7"/>
      <c r="E20" s="7">
        <v>0</v>
      </c>
      <c r="F20" s="7">
        <v>0</v>
      </c>
      <c r="G20" s="7">
        <v>0</v>
      </c>
      <c r="H20" s="7">
        <v>0</v>
      </c>
    </row>
    <row r="21" spans="1:8">
      <c r="A21" s="11"/>
      <c r="B21" s="4" t="s">
        <v>21</v>
      </c>
      <c r="C21" s="10"/>
      <c r="D21" s="10"/>
      <c r="E21" s="10">
        <v>0</v>
      </c>
      <c r="F21" s="10">
        <v>0</v>
      </c>
      <c r="G21" s="10">
        <v>0</v>
      </c>
      <c r="H21" s="10">
        <v>0</v>
      </c>
    </row>
    <row r="22" spans="1:8">
      <c r="A22" s="11"/>
      <c r="B22" s="1" t="s">
        <v>17</v>
      </c>
      <c r="C22" s="7"/>
      <c r="D22" s="7"/>
      <c r="E22" s="7">
        <v>1177000</v>
      </c>
      <c r="F22" s="7">
        <v>1094000</v>
      </c>
      <c r="G22" s="7">
        <v>1170000</v>
      </c>
      <c r="H22" s="7">
        <v>602000</v>
      </c>
    </row>
    <row r="23" spans="1:8">
      <c r="A23" s="11"/>
      <c r="B23" s="1" t="s">
        <v>22</v>
      </c>
      <c r="C23" s="7"/>
      <c r="D23" s="7"/>
      <c r="E23" s="7">
        <v>8416000</v>
      </c>
      <c r="F23" s="7">
        <v>6949000</v>
      </c>
      <c r="G23" s="7">
        <v>8087000</v>
      </c>
      <c r="H23" s="7">
        <v>8363000</v>
      </c>
    </row>
    <row r="24" spans="1:8">
      <c r="A24" s="11"/>
      <c r="B24" s="2" t="s">
        <v>23</v>
      </c>
      <c r="C24" s="8">
        <f>SUM(C20:C23)</f>
        <v>0</v>
      </c>
      <c r="D24" s="8">
        <f>SUM(D20:D23)</f>
        <v>0</v>
      </c>
      <c r="E24" s="8">
        <f>SUM(E20:E23)</f>
        <v>9593000</v>
      </c>
      <c r="F24" s="8">
        <f t="shared" ref="F24:H24" si="5">SUM(F20:F23)</f>
        <v>8043000</v>
      </c>
      <c r="G24" s="8">
        <f t="shared" si="5"/>
        <v>9257000</v>
      </c>
      <c r="H24" s="8">
        <f t="shared" si="5"/>
        <v>8965000</v>
      </c>
    </row>
    <row r="25" spans="1:8" ht="15" customHeight="1" thickBot="1">
      <c r="A25" s="11"/>
      <c r="B25" s="5" t="s">
        <v>24</v>
      </c>
      <c r="C25" s="9">
        <f>C16+C19+C24</f>
        <v>0</v>
      </c>
      <c r="D25" s="9">
        <f>D16+D19+D24</f>
        <v>0</v>
      </c>
      <c r="E25" s="9">
        <f>E16+E19+E24</f>
        <v>20655000</v>
      </c>
      <c r="F25" s="9">
        <f t="shared" ref="F25:H25" si="6">F16+F19+F24</f>
        <v>18020000</v>
      </c>
      <c r="G25" s="9">
        <f t="shared" si="6"/>
        <v>20296000</v>
      </c>
      <c r="H25" s="9">
        <f t="shared" si="6"/>
        <v>22137000</v>
      </c>
    </row>
  </sheetData>
  <mergeCells count="1">
    <mergeCell ref="A1:A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LOOZE Grégory</dc:creator>
  <cp:keywords/>
  <dc:description/>
  <cp:lastModifiedBy>DUBREUIL Mattis</cp:lastModifiedBy>
  <cp:revision/>
  <dcterms:created xsi:type="dcterms:W3CDTF">2026-02-16T16:33:40Z</dcterms:created>
  <dcterms:modified xsi:type="dcterms:W3CDTF">2026-02-24T10:41:09Z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0x010100015EB90C6EEA6D4F81650B91DDD8307A</vt:lpwstr>
  </property>
</Properties>
</file>