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4.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6.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7.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8.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9.xml" ContentType="application/vnd.openxmlformats-officedocument.themeOverrid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0.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1.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2.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3.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4.xml" ContentType="application/vnd.openxmlformats-officedocument.themeOverride+xml"/>
  <Override PartName="/xl/drawings/drawing8.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5.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6.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7.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8.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9.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0.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31.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32.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33.xml" ContentType="application/vnd.openxmlformats-officedocument.themeOverride+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dheccom-my.sharepoint.com/personal/mattis_dubreuil_edhec_com/Documents/EDHEC/Financial Diagnosis/"/>
    </mc:Choice>
  </mc:AlternateContent>
  <xr:revisionPtr revIDLastSave="0" documentId="8_{BD2126B2-F300-44A5-914E-E7AAF29CE606}" xr6:coauthVersionLast="47" xr6:coauthVersionMax="47" xr10:uidLastSave="{00000000-0000-0000-0000-000000000000}"/>
  <bookViews>
    <workbookView xWindow="0" yWindow="640" windowWidth="28800" windowHeight="16240" firstSheet="4" activeTab="4" xr2:uid="{BF47443E-E37E-4DCF-82D0-833DF96A357B}"/>
  </bookViews>
  <sheets>
    <sheet name="Menu" sheetId="12" r:id="rId1"/>
    <sheet name="Performance" sheetId="2" r:id="rId2"/>
    <sheet name="Profitability" sheetId="3" r:id="rId3"/>
    <sheet name="Investment management" sheetId="5" r:id="rId4"/>
    <sheet name="Operating Management" sheetId="4" r:id="rId5"/>
    <sheet name="Financial management " sheetId="7" r:id="rId6"/>
    <sheet name="Ratio for investors shareholder" sheetId="8" r:id="rId7"/>
    <sheet name="SFS" sheetId="10" r:id="rId8"/>
    <sheet name="Financial Statement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7" l="1"/>
  <c r="J44" i="9"/>
  <c r="J45" i="9"/>
  <c r="H44" i="9"/>
  <c r="H45" i="9"/>
  <c r="F44" i="9"/>
  <c r="F45" i="9"/>
  <c r="Z61" i="9"/>
  <c r="Z62" i="9"/>
  <c r="Z63" i="9"/>
  <c r="Z64" i="9"/>
  <c r="Z65" i="9"/>
  <c r="Z66" i="9"/>
  <c r="Z67" i="9"/>
  <c r="Z68" i="9"/>
  <c r="Z71" i="9"/>
  <c r="Z72" i="9"/>
  <c r="Z73" i="9"/>
  <c r="Z74" i="9"/>
  <c r="Z75" i="9"/>
  <c r="Z78" i="9"/>
  <c r="Z79" i="9"/>
  <c r="Z80" i="9"/>
  <c r="Z81" i="9"/>
  <c r="Z82" i="9"/>
  <c r="Z83" i="9"/>
  <c r="Z84" i="9"/>
  <c r="Z85" i="9"/>
  <c r="Z88" i="9"/>
  <c r="Z89" i="9"/>
  <c r="Z90" i="9"/>
  <c r="Z91" i="9"/>
  <c r="Z60" i="9"/>
  <c r="X61" i="9"/>
  <c r="X62" i="9"/>
  <c r="X63" i="9"/>
  <c r="X64" i="9"/>
  <c r="X65" i="9"/>
  <c r="X66" i="9"/>
  <c r="X67" i="9"/>
  <c r="X68" i="9"/>
  <c r="X71" i="9"/>
  <c r="X72" i="9"/>
  <c r="X73" i="9"/>
  <c r="X74" i="9"/>
  <c r="X75" i="9"/>
  <c r="X78" i="9"/>
  <c r="X79" i="9"/>
  <c r="X80" i="9"/>
  <c r="X81" i="9"/>
  <c r="X82" i="9"/>
  <c r="X83" i="9"/>
  <c r="X84" i="9"/>
  <c r="X85" i="9"/>
  <c r="X88" i="9"/>
  <c r="X89" i="9"/>
  <c r="X90" i="9"/>
  <c r="X91" i="9"/>
  <c r="X60" i="9"/>
  <c r="V88" i="9"/>
  <c r="V89" i="9"/>
  <c r="V90" i="9"/>
  <c r="V91" i="9"/>
  <c r="V61" i="9"/>
  <c r="V62" i="9"/>
  <c r="V63" i="9"/>
  <c r="V64" i="9"/>
  <c r="V65" i="9"/>
  <c r="V66" i="9"/>
  <c r="V67" i="9"/>
  <c r="V68" i="9"/>
  <c r="V71" i="9"/>
  <c r="V72" i="9"/>
  <c r="V73" i="9"/>
  <c r="V74" i="9"/>
  <c r="V75" i="9"/>
  <c r="V78" i="9"/>
  <c r="V79" i="9"/>
  <c r="V80" i="9"/>
  <c r="V81" i="9"/>
  <c r="V82" i="9"/>
  <c r="V83" i="9"/>
  <c r="V84" i="9"/>
  <c r="V85" i="9"/>
  <c r="V60" i="9"/>
  <c r="T61" i="9"/>
  <c r="T62" i="9"/>
  <c r="T63" i="9"/>
  <c r="T64" i="9"/>
  <c r="T65" i="9"/>
  <c r="T66" i="9"/>
  <c r="T67" i="9"/>
  <c r="T68" i="9"/>
  <c r="T71" i="9"/>
  <c r="T72" i="9"/>
  <c r="T73" i="9"/>
  <c r="T74" i="9"/>
  <c r="T75" i="9"/>
  <c r="T78" i="9"/>
  <c r="T79" i="9"/>
  <c r="T80" i="9"/>
  <c r="T81" i="9"/>
  <c r="T82" i="9"/>
  <c r="T83" i="9"/>
  <c r="T84" i="9"/>
  <c r="T85" i="9"/>
  <c r="T88" i="9"/>
  <c r="T89" i="9"/>
  <c r="T90" i="9"/>
  <c r="T91" i="9"/>
  <c r="T60" i="9"/>
  <c r="Z35" i="9"/>
  <c r="Z36" i="9"/>
  <c r="Z37" i="9"/>
  <c r="Z38" i="9"/>
  <c r="Z39" i="9"/>
  <c r="Z40" i="9"/>
  <c r="Z41" i="9"/>
  <c r="Z42" i="9"/>
  <c r="Z43" i="9"/>
  <c r="Z44" i="9"/>
  <c r="Z45" i="9"/>
  <c r="Z46" i="9"/>
  <c r="Z47" i="9"/>
  <c r="Z48" i="9"/>
  <c r="Z49" i="9"/>
  <c r="Z50" i="9"/>
  <c r="Z51" i="9"/>
  <c r="Z52" i="9"/>
  <c r="Z34" i="9"/>
  <c r="X35" i="9"/>
  <c r="X36" i="9"/>
  <c r="X37" i="9"/>
  <c r="X38" i="9"/>
  <c r="X39" i="9"/>
  <c r="X40" i="9"/>
  <c r="X41" i="9"/>
  <c r="X42" i="9"/>
  <c r="X43" i="9"/>
  <c r="X44" i="9"/>
  <c r="X45" i="9"/>
  <c r="X46" i="9"/>
  <c r="X47" i="9"/>
  <c r="X48" i="9"/>
  <c r="X49" i="9"/>
  <c r="X50" i="9"/>
  <c r="X51" i="9"/>
  <c r="X52" i="9"/>
  <c r="X34" i="9"/>
  <c r="V35" i="9"/>
  <c r="V36" i="9"/>
  <c r="V37" i="9"/>
  <c r="V38" i="9"/>
  <c r="V39" i="9"/>
  <c r="V40" i="9"/>
  <c r="V41" i="9"/>
  <c r="V42" i="9"/>
  <c r="V43" i="9"/>
  <c r="V44" i="9"/>
  <c r="V45" i="9"/>
  <c r="V46" i="9"/>
  <c r="V47" i="9"/>
  <c r="V48" i="9"/>
  <c r="V49" i="9"/>
  <c r="V50" i="9"/>
  <c r="V51" i="9"/>
  <c r="V52" i="9"/>
  <c r="V34" i="9"/>
  <c r="T35" i="9"/>
  <c r="T36" i="9"/>
  <c r="T37" i="9"/>
  <c r="T38" i="9"/>
  <c r="T39" i="9"/>
  <c r="T40" i="9"/>
  <c r="T41" i="9"/>
  <c r="T42" i="9"/>
  <c r="T43" i="9"/>
  <c r="T44" i="9"/>
  <c r="T45" i="9"/>
  <c r="T46" i="9"/>
  <c r="T47" i="9"/>
  <c r="T48" i="9"/>
  <c r="T49" i="9"/>
  <c r="T50" i="9"/>
  <c r="T51" i="9"/>
  <c r="T52" i="9"/>
  <c r="T34" i="9"/>
  <c r="AE8" i="9"/>
  <c r="AE9" i="9"/>
  <c r="AE11" i="9"/>
  <c r="AE12" i="9"/>
  <c r="AE13" i="9"/>
  <c r="AE14" i="9"/>
  <c r="AE17" i="9"/>
  <c r="AE18" i="9"/>
  <c r="AE19" i="9"/>
  <c r="AE20" i="9"/>
  <c r="AE22" i="9"/>
  <c r="AE23" i="9"/>
  <c r="AE26" i="9"/>
  <c r="AE27" i="9"/>
  <c r="AE7" i="9"/>
  <c r="AB8" i="9"/>
  <c r="AB9" i="9"/>
  <c r="AB10" i="9"/>
  <c r="AB11" i="9"/>
  <c r="AB12" i="9"/>
  <c r="AB13" i="9"/>
  <c r="AB14" i="9"/>
  <c r="AB15" i="9"/>
  <c r="AB16" i="9"/>
  <c r="AB17" i="9"/>
  <c r="AB18" i="9"/>
  <c r="AB19" i="9"/>
  <c r="AB20" i="9"/>
  <c r="AB21" i="9"/>
  <c r="AB22" i="9"/>
  <c r="AB23" i="9"/>
  <c r="AB24" i="9"/>
  <c r="AB25" i="9"/>
  <c r="AB26" i="9"/>
  <c r="AB27" i="9"/>
  <c r="AB29" i="9"/>
  <c r="AB30" i="9"/>
  <c r="AB7" i="9"/>
  <c r="AA15" i="9"/>
  <c r="AA16" i="9"/>
  <c r="AA8" i="9"/>
  <c r="AA9" i="9"/>
  <c r="AA10" i="9"/>
  <c r="AA11" i="9"/>
  <c r="AA12" i="9"/>
  <c r="AA13" i="9"/>
  <c r="AA14" i="9"/>
  <c r="AA17" i="9"/>
  <c r="AA18" i="9"/>
  <c r="AA19" i="9"/>
  <c r="AA20" i="9"/>
  <c r="AA21" i="9"/>
  <c r="AA22" i="9"/>
  <c r="AA23" i="9"/>
  <c r="AA24" i="9"/>
  <c r="AA25" i="9"/>
  <c r="AA26" i="9"/>
  <c r="AA27" i="9"/>
  <c r="AA29" i="9"/>
  <c r="AA30" i="9"/>
  <c r="AA7" i="9"/>
  <c r="Y8" i="9"/>
  <c r="Y9" i="9"/>
  <c r="Y10" i="9"/>
  <c r="Y11" i="9"/>
  <c r="Y12" i="9"/>
  <c r="Y13" i="9"/>
  <c r="Y14" i="9"/>
  <c r="Y15" i="9"/>
  <c r="Y16" i="9"/>
  <c r="Y17" i="9"/>
  <c r="Y18" i="9"/>
  <c r="Y19" i="9"/>
  <c r="Y20" i="9"/>
  <c r="Y21" i="9"/>
  <c r="Y22" i="9"/>
  <c r="Y23" i="9"/>
  <c r="Y24" i="9"/>
  <c r="Y25" i="9"/>
  <c r="Y26" i="9"/>
  <c r="Y27" i="9"/>
  <c r="Y29" i="9"/>
  <c r="Y30" i="9"/>
  <c r="Y7" i="9"/>
  <c r="X8" i="9"/>
  <c r="X9" i="9"/>
  <c r="X10" i="9"/>
  <c r="X11" i="9"/>
  <c r="X12" i="9"/>
  <c r="X13" i="9"/>
  <c r="X14" i="9"/>
  <c r="X15" i="9"/>
  <c r="X16" i="9"/>
  <c r="X17" i="9"/>
  <c r="X18" i="9"/>
  <c r="X19" i="9"/>
  <c r="X20" i="9"/>
  <c r="X21" i="9"/>
  <c r="X22" i="9"/>
  <c r="X23" i="9"/>
  <c r="X24" i="9"/>
  <c r="X25" i="9"/>
  <c r="X26" i="9"/>
  <c r="X27" i="9"/>
  <c r="X29" i="9"/>
  <c r="X30" i="9"/>
  <c r="X7" i="9"/>
  <c r="V8" i="9"/>
  <c r="V9" i="9"/>
  <c r="V10" i="9"/>
  <c r="V11" i="9"/>
  <c r="V12" i="9"/>
  <c r="V13" i="9"/>
  <c r="V14" i="9"/>
  <c r="V15" i="9"/>
  <c r="V16" i="9"/>
  <c r="V17" i="9"/>
  <c r="V18" i="9"/>
  <c r="V19" i="9"/>
  <c r="V20" i="9"/>
  <c r="V21" i="9"/>
  <c r="V22" i="9"/>
  <c r="V23" i="9"/>
  <c r="V24" i="9"/>
  <c r="V26" i="9"/>
  <c r="V27" i="9"/>
  <c r="V29" i="9"/>
  <c r="V30" i="9"/>
  <c r="V7" i="9"/>
  <c r="U8" i="9" l="1"/>
  <c r="U9" i="9"/>
  <c r="U10" i="9"/>
  <c r="U11" i="9"/>
  <c r="U12" i="9"/>
  <c r="U13" i="9"/>
  <c r="U14" i="9"/>
  <c r="U15" i="9"/>
  <c r="U16" i="9"/>
  <c r="U17" i="9"/>
  <c r="U18" i="9"/>
  <c r="U19" i="9"/>
  <c r="U20" i="9"/>
  <c r="U21" i="9"/>
  <c r="U22" i="9"/>
  <c r="U23" i="9"/>
  <c r="U24" i="9"/>
  <c r="U25" i="9"/>
  <c r="U26" i="9"/>
  <c r="U27" i="9"/>
  <c r="U29" i="9"/>
  <c r="U30" i="9"/>
  <c r="U7" i="9"/>
  <c r="S8" i="9"/>
  <c r="S9" i="9"/>
  <c r="S10" i="9"/>
  <c r="S11" i="9"/>
  <c r="S12" i="9"/>
  <c r="S13" i="9"/>
  <c r="S14" i="9"/>
  <c r="S15" i="9"/>
  <c r="S16" i="9"/>
  <c r="S17" i="9"/>
  <c r="S18" i="9"/>
  <c r="S19" i="9"/>
  <c r="S20" i="9"/>
  <c r="S21" i="9"/>
  <c r="S22" i="9"/>
  <c r="S23" i="9"/>
  <c r="S24" i="9"/>
  <c r="S26" i="9"/>
  <c r="S27" i="9"/>
  <c r="S29" i="9"/>
  <c r="S30" i="9"/>
  <c r="S7" i="9"/>
  <c r="C39" i="9" l="1"/>
  <c r="D39" i="9" s="1"/>
  <c r="E39" i="9"/>
  <c r="G39" i="9"/>
  <c r="H39" i="9" s="1"/>
  <c r="B39" i="9"/>
  <c r="B38" i="9"/>
  <c r="C37" i="9"/>
  <c r="E37" i="9"/>
  <c r="F37" i="9" s="1"/>
  <c r="G37" i="9"/>
  <c r="I37" i="9"/>
  <c r="J37" i="9" s="1"/>
  <c r="B37" i="9"/>
  <c r="R98" i="9"/>
  <c r="B36" i="9" s="1"/>
  <c r="C35" i="9"/>
  <c r="E35" i="9"/>
  <c r="F35" i="9" s="1"/>
  <c r="G35" i="9"/>
  <c r="H35" i="9" s="1"/>
  <c r="I35" i="9"/>
  <c r="J35" i="9" s="1"/>
  <c r="B35" i="9"/>
  <c r="AG64" i="9"/>
  <c r="AG65" i="9" s="1"/>
  <c r="AF67" i="9"/>
  <c r="AG71" i="9"/>
  <c r="S98" i="9"/>
  <c r="C36" i="9" s="1"/>
  <c r="D36" i="9" s="1"/>
  <c r="U98" i="9"/>
  <c r="G36" i="9" s="1"/>
  <c r="V98" i="9"/>
  <c r="I36" i="9" s="1"/>
  <c r="J36" i="9" s="1"/>
  <c r="T98" i="9"/>
  <c r="E36" i="9" s="1"/>
  <c r="F36" i="9" s="1"/>
  <c r="C32" i="9"/>
  <c r="E32" i="9"/>
  <c r="F32" i="9" s="1"/>
  <c r="G32" i="9"/>
  <c r="H32" i="9" s="1"/>
  <c r="I32" i="9"/>
  <c r="B32" i="9"/>
  <c r="C31" i="9"/>
  <c r="D31" i="9" s="1"/>
  <c r="E31" i="9"/>
  <c r="F31" i="9" s="1"/>
  <c r="G31" i="9"/>
  <c r="H31" i="9" s="1"/>
  <c r="B31" i="9"/>
  <c r="C30" i="9"/>
  <c r="D30" i="9" s="1"/>
  <c r="E30" i="9"/>
  <c r="F30" i="9" s="1"/>
  <c r="G30" i="9"/>
  <c r="B30" i="9"/>
  <c r="C46" i="9"/>
  <c r="E46" i="9"/>
  <c r="G46" i="9"/>
  <c r="B46" i="9"/>
  <c r="B49" i="9" s="1"/>
  <c r="B45" i="9"/>
  <c r="D45" i="9" s="1"/>
  <c r="D32" i="9" l="1"/>
  <c r="G38" i="9"/>
  <c r="H37" i="9"/>
  <c r="C38" i="9"/>
  <c r="D38" i="9" s="1"/>
  <c r="D37" i="9"/>
  <c r="H36" i="9"/>
  <c r="D35" i="9"/>
  <c r="G47" i="9"/>
  <c r="H46" i="9"/>
  <c r="E49" i="9"/>
  <c r="F46" i="9"/>
  <c r="C47" i="9"/>
  <c r="D46" i="9"/>
  <c r="H30" i="9"/>
  <c r="J32" i="9"/>
  <c r="F39" i="9"/>
  <c r="AG72" i="9"/>
  <c r="I38" i="9"/>
  <c r="J38" i="9" s="1"/>
  <c r="B47" i="9"/>
  <c r="B48" i="9" s="1"/>
  <c r="G49" i="9"/>
  <c r="H49" i="9" s="1"/>
  <c r="E47" i="9"/>
  <c r="C49" i="9"/>
  <c r="D49" i="9" s="1"/>
  <c r="C42" i="9"/>
  <c r="E42" i="9"/>
  <c r="F42" i="9" s="1"/>
  <c r="G42" i="9"/>
  <c r="B42" i="9"/>
  <c r="C41" i="9"/>
  <c r="E41" i="9"/>
  <c r="F41" i="9" s="1"/>
  <c r="G41" i="9"/>
  <c r="H41" i="9" s="1"/>
  <c r="B41" i="9"/>
  <c r="C28" i="9"/>
  <c r="D28" i="9" s="1"/>
  <c r="E28" i="9"/>
  <c r="F28" i="9" s="1"/>
  <c r="G28" i="9"/>
  <c r="B28" i="9"/>
  <c r="C27" i="9"/>
  <c r="E27" i="9"/>
  <c r="F27" i="9" s="1"/>
  <c r="G27" i="9"/>
  <c r="H27" i="9" s="1"/>
  <c r="B27" i="9"/>
  <c r="C26" i="9"/>
  <c r="D26" i="9" s="1"/>
  <c r="E26" i="9"/>
  <c r="F26" i="9" s="1"/>
  <c r="G26" i="9"/>
  <c r="B26" i="9"/>
  <c r="C24" i="9"/>
  <c r="E24" i="9"/>
  <c r="F24" i="9" s="1"/>
  <c r="G24" i="9"/>
  <c r="H24" i="9" s="1"/>
  <c r="I24" i="9"/>
  <c r="J24" i="9" s="1"/>
  <c r="B24" i="9"/>
  <c r="B20" i="9"/>
  <c r="C21" i="9"/>
  <c r="E21" i="9"/>
  <c r="F21" i="9" s="1"/>
  <c r="G21" i="9"/>
  <c r="H21" i="9" s="1"/>
  <c r="R28" i="9"/>
  <c r="S28" i="9" s="1"/>
  <c r="R25" i="9"/>
  <c r="T28" i="9"/>
  <c r="W28" i="9"/>
  <c r="Z28" i="9"/>
  <c r="AC25" i="9"/>
  <c r="AC28" i="9"/>
  <c r="C20" i="9"/>
  <c r="E20" i="9"/>
  <c r="F20" i="9" s="1"/>
  <c r="G20" i="9"/>
  <c r="H20" i="9" s="1"/>
  <c r="I20" i="9"/>
  <c r="J20" i="9" s="1"/>
  <c r="C19" i="9"/>
  <c r="D19" i="9" s="1"/>
  <c r="E19" i="9"/>
  <c r="F19" i="9" s="1"/>
  <c r="G19" i="9"/>
  <c r="I19" i="9"/>
  <c r="J19" i="9" s="1"/>
  <c r="B19" i="9"/>
  <c r="C17" i="9"/>
  <c r="E17" i="9"/>
  <c r="F17" i="9" s="1"/>
  <c r="G17" i="9"/>
  <c r="H17" i="9" s="1"/>
  <c r="I17" i="9"/>
  <c r="J17" i="9" s="1"/>
  <c r="B17" i="9"/>
  <c r="C16" i="9"/>
  <c r="E16" i="9"/>
  <c r="F16" i="9" s="1"/>
  <c r="G16" i="9"/>
  <c r="H16" i="9" s="1"/>
  <c r="I16" i="9"/>
  <c r="J16" i="9" s="1"/>
  <c r="B16" i="9"/>
  <c r="C15" i="9"/>
  <c r="E15" i="9"/>
  <c r="G15" i="9"/>
  <c r="I15" i="9"/>
  <c r="B15" i="9"/>
  <c r="B33" i="9" s="1"/>
  <c r="C14" i="9"/>
  <c r="E14" i="9"/>
  <c r="F14" i="9" s="1"/>
  <c r="G14" i="9"/>
  <c r="H14" i="9" s="1"/>
  <c r="I14" i="9"/>
  <c r="J14" i="9" s="1"/>
  <c r="B14" i="9"/>
  <c r="C10" i="9"/>
  <c r="E10" i="9"/>
  <c r="G10" i="9"/>
  <c r="H10" i="9" s="1"/>
  <c r="B10" i="9"/>
  <c r="E9" i="9"/>
  <c r="C9" i="9"/>
  <c r="G9" i="9"/>
  <c r="H9" i="9" s="1"/>
  <c r="B9" i="9"/>
  <c r="C8" i="9"/>
  <c r="D8" i="9" s="1"/>
  <c r="E8" i="9"/>
  <c r="G8" i="9"/>
  <c r="H8" i="9" s="1"/>
  <c r="I8" i="9"/>
  <c r="J8" i="9" s="1"/>
  <c r="B8" i="9"/>
  <c r="E7" i="9"/>
  <c r="C7" i="9"/>
  <c r="G7" i="9"/>
  <c r="H7" i="9" s="1"/>
  <c r="B7" i="9"/>
  <c r="AC24" i="9"/>
  <c r="AC21" i="9"/>
  <c r="AC15" i="9"/>
  <c r="AC10" i="9"/>
  <c r="Y28" i="9" l="1"/>
  <c r="X28" i="9"/>
  <c r="D7" i="9"/>
  <c r="C33" i="9"/>
  <c r="D33" i="9" s="1"/>
  <c r="D15" i="9"/>
  <c r="V28" i="9"/>
  <c r="U28" i="9"/>
  <c r="D9" i="9"/>
  <c r="V25" i="9"/>
  <c r="S25" i="9"/>
  <c r="C48" i="9"/>
  <c r="D48" i="9" s="1"/>
  <c r="D47" i="9"/>
  <c r="G33" i="9"/>
  <c r="H33" i="9" s="1"/>
  <c r="H15" i="9"/>
  <c r="AB28" i="9"/>
  <c r="AA28" i="9"/>
  <c r="G48" i="9"/>
  <c r="H47" i="9"/>
  <c r="E33" i="9"/>
  <c r="F15" i="9"/>
  <c r="D42" i="9"/>
  <c r="F7" i="9"/>
  <c r="E48" i="9"/>
  <c r="F48" i="9" s="1"/>
  <c r="F47" i="9"/>
  <c r="AE10" i="9"/>
  <c r="F9" i="9"/>
  <c r="D17" i="9"/>
  <c r="AE15" i="9"/>
  <c r="D14" i="9"/>
  <c r="D20" i="9"/>
  <c r="D24" i="9"/>
  <c r="D27" i="9"/>
  <c r="D41" i="9"/>
  <c r="I39" i="9"/>
  <c r="J39" i="9" s="1"/>
  <c r="AE21" i="9"/>
  <c r="AC29" i="9"/>
  <c r="AE28" i="9"/>
  <c r="F49" i="9"/>
  <c r="AE24" i="9"/>
  <c r="F8" i="9"/>
  <c r="F10" i="9"/>
  <c r="J15" i="9"/>
  <c r="D16" i="9"/>
  <c r="H19" i="9"/>
  <c r="I21" i="9"/>
  <c r="J21" i="9" s="1"/>
  <c r="AE25" i="9"/>
  <c r="D21" i="9"/>
  <c r="H26" i="9"/>
  <c r="H28" i="9"/>
  <c r="H42" i="9"/>
  <c r="E12" i="9"/>
  <c r="B21" i="9"/>
  <c r="G22" i="9"/>
  <c r="H22" i="9" s="1"/>
  <c r="AC16" i="9"/>
  <c r="AD10" i="9" s="1"/>
  <c r="B22" i="9"/>
  <c r="B12" i="9"/>
  <c r="E22" i="9"/>
  <c r="I27" i="9"/>
  <c r="J27" i="9" s="1"/>
  <c r="I28" i="9"/>
  <c r="J28" i="9" s="1"/>
  <c r="I42" i="9"/>
  <c r="I7" i="9"/>
  <c r="J7" i="9" s="1"/>
  <c r="C22" i="9"/>
  <c r="D22" i="9" s="1"/>
  <c r="I26" i="9"/>
  <c r="J26" i="9" s="1"/>
  <c r="B43" i="9"/>
  <c r="I46" i="9"/>
  <c r="J46" i="9" s="1"/>
  <c r="I30" i="9"/>
  <c r="J30" i="9" s="1"/>
  <c r="G43" i="9"/>
  <c r="B44" i="9"/>
  <c r="D44" i="9" s="1"/>
  <c r="E43" i="9"/>
  <c r="F43" i="9" s="1"/>
  <c r="I41" i="9"/>
  <c r="G12" i="9"/>
  <c r="H12" i="9" s="1"/>
  <c r="C12" i="9"/>
  <c r="D12" i="9" s="1"/>
  <c r="C43" i="9"/>
  <c r="AC30" i="9"/>
  <c r="T38" i="2"/>
  <c r="Q38" i="2"/>
  <c r="W20" i="2"/>
  <c r="T20" i="2"/>
  <c r="Q20" i="2"/>
  <c r="G38" i="2"/>
  <c r="D38" i="2"/>
  <c r="G20" i="2"/>
  <c r="D20" i="2"/>
  <c r="P74" i="10"/>
  <c r="C74" i="10"/>
  <c r="P46" i="10"/>
  <c r="J133" i="10"/>
  <c r="P105" i="10"/>
  <c r="C105" i="10"/>
  <c r="P77" i="10"/>
  <c r="C77" i="10"/>
  <c r="P49" i="10"/>
  <c r="C49" i="10"/>
  <c r="P21" i="10"/>
  <c r="C21" i="10"/>
  <c r="P46" i="8"/>
  <c r="J77" i="8"/>
  <c r="P49" i="8"/>
  <c r="C49" i="8"/>
  <c r="P21" i="8"/>
  <c r="C21" i="8"/>
  <c r="J49" i="7"/>
  <c r="P21" i="7"/>
  <c r="C21" i="7"/>
  <c r="P111" i="7"/>
  <c r="C111" i="7"/>
  <c r="P83" i="7"/>
  <c r="C83" i="7"/>
  <c r="J81" i="5"/>
  <c r="P18" i="5"/>
  <c r="P49" i="5"/>
  <c r="C49" i="5"/>
  <c r="P21" i="5"/>
  <c r="C21" i="5"/>
  <c r="P49" i="3"/>
  <c r="C49" i="3"/>
  <c r="C49" i="4"/>
  <c r="P49" i="4"/>
  <c r="C21" i="4"/>
  <c r="P21" i="4"/>
  <c r="P21" i="3"/>
  <c r="C21" i="3"/>
  <c r="P18" i="8"/>
  <c r="J74" i="8"/>
  <c r="C18" i="8"/>
  <c r="C108" i="7"/>
  <c r="J46" i="7"/>
  <c r="J78" i="5"/>
  <c r="C18" i="5"/>
  <c r="P46" i="4"/>
  <c r="C46" i="4"/>
  <c r="P18" i="4"/>
  <c r="C18" i="4"/>
  <c r="C18" i="3"/>
  <c r="M44" i="9"/>
  <c r="M43" i="9"/>
  <c r="M42" i="9"/>
  <c r="AD21" i="9" l="1"/>
  <c r="AD15" i="9"/>
  <c r="AD25" i="9"/>
  <c r="AD24" i="9"/>
  <c r="H43" i="9"/>
  <c r="F12" i="9"/>
  <c r="AD28" i="9"/>
  <c r="F33" i="9"/>
  <c r="C18" i="10"/>
  <c r="J41" i="9"/>
  <c r="I9" i="9"/>
  <c r="AD11" i="9"/>
  <c r="AD19" i="9"/>
  <c r="AD27" i="9"/>
  <c r="AD14" i="9"/>
  <c r="AD12" i="9"/>
  <c r="AD20" i="9"/>
  <c r="AD22" i="9"/>
  <c r="AD13" i="9"/>
  <c r="AD23" i="9"/>
  <c r="AD7" i="9"/>
  <c r="AE16" i="9"/>
  <c r="AD8" i="9"/>
  <c r="AD16" i="9"/>
  <c r="AD9" i="9"/>
  <c r="AD17" i="9"/>
  <c r="AD18" i="9"/>
  <c r="AD26" i="9"/>
  <c r="P18" i="10"/>
  <c r="J42" i="9"/>
  <c r="AE30" i="9"/>
  <c r="AD30" i="9"/>
  <c r="I22" i="9"/>
  <c r="J22" i="9" s="1"/>
  <c r="D43" i="9"/>
  <c r="F22" i="9"/>
  <c r="AE29" i="9"/>
  <c r="AD29" i="9"/>
  <c r="H48" i="9"/>
  <c r="I10" i="9"/>
  <c r="J10" i="9" s="1"/>
  <c r="C80" i="7"/>
  <c r="I31" i="9"/>
  <c r="J31" i="9" s="1"/>
  <c r="P18" i="7"/>
  <c r="J20" i="2"/>
  <c r="P80" i="7"/>
  <c r="J38" i="2"/>
  <c r="W38" i="2"/>
  <c r="I33" i="9"/>
  <c r="J33" i="9" s="1"/>
  <c r="I47" i="9"/>
  <c r="J47" i="9" s="1"/>
  <c r="I49" i="9"/>
  <c r="J49" i="9" s="1"/>
  <c r="I43" i="9"/>
  <c r="J43" i="9" s="1"/>
  <c r="C46" i="8"/>
  <c r="C46" i="5"/>
  <c r="P46" i="5"/>
  <c r="I12" i="9" l="1"/>
  <c r="J12" i="9" s="1"/>
  <c r="J9" i="9"/>
  <c r="C46" i="3"/>
  <c r="P46" i="3"/>
  <c r="P108" i="7"/>
  <c r="C46" i="10"/>
  <c r="J130" i="10"/>
  <c r="I48" i="9"/>
  <c r="J48" i="9" s="1"/>
  <c r="C102" i="10"/>
  <c r="P18" i="3"/>
  <c r="P102"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tc={43E13F5B-2B2C-944C-A6F6-CE2C0A9D9F66}</author>
  </authors>
  <commentList>
    <comment ref="K24" authorId="0" shapeId="0" xr:uid="{43E13F5B-2B2C-944C-A6F6-CE2C0A9D9F66}">
      <text>
        <t>[Threaded comment]
Your version of Excel allows you to read this threaded comment; however, any edits to it will get removed if the file is opened in a newer version of Excel. Learn more: https://go.microsoft.com/fwlink/?linkid=870924
Comment:
    The interpretation for PPE turnover is incorrect, as the highest it is, the better</t>
      </text>
    </comment>
  </commentList>
</comments>
</file>

<file path=xl/sharedStrings.xml><?xml version="1.0" encoding="utf-8"?>
<sst xmlns="http://schemas.openxmlformats.org/spreadsheetml/2006/main" count="397" uniqueCount="284">
  <si>
    <t>Frankfur</t>
  </si>
  <si>
    <t>€23.7</t>
  </si>
  <si>
    <t>Barlow CondensedBarlow Condensed</t>
  </si>
  <si>
    <t>NET SALES</t>
  </si>
  <si>
    <t>Net Sales</t>
  </si>
  <si>
    <t>FY 2021</t>
  </si>
  <si>
    <t>FY 2022</t>
  </si>
  <si>
    <t>IDEAL</t>
  </si>
  <si>
    <t>RISKY BUT COMMON</t>
  </si>
  <si>
    <t>INTERPRETATION</t>
  </si>
  <si>
    <t>Healthy cycle. Long-term resources cover fixed assets with extra cash for operations.</t>
  </si>
  <si>
    <t>Stable long-term, but short-term liquidity tension. Operating cycle too heavy, needs short-term bank loans.</t>
  </si>
  <si>
    <t>FY 2023</t>
  </si>
  <si>
    <t>FY 2024</t>
  </si>
  <si>
    <t>LIQUIDITY</t>
  </si>
  <si>
    <t>SOLVENCY &amp; LEVERAGE</t>
  </si>
  <si>
    <t>CURRENT RATIO</t>
  </si>
  <si>
    <t>TOTAL DEBT RATIO</t>
  </si>
  <si>
    <t>The Current Ratio has been mostly declining over 2021–2024 (20.2% ↓), moving from Healthy (1.56) to  adequate but tight (1.24) in 2024.</t>
  </si>
  <si>
    <t>The Total Debt Ratio has been mostly improving over 2021–2024 (15.0% ↑), from Low–moderate debt (0.27) to Low–moderate debt (0.31) in 2024.</t>
  </si>
  <si>
    <t>QUICK &amp; CASH RATIO</t>
  </si>
  <si>
    <t xml:space="preserve"> D/E RATIO  &amp; EQUITY MULTIPLIER</t>
  </si>
  <si>
    <t>In 2024, the Quick Ratio stands at 0.72  Risky and the Cash Ratio at 0.22 Below ideal.</t>
  </si>
  <si>
    <t>In 2024, the D/E ratio of 1.09 signals Acceptable, and the Equity Multiplier of 3.52 indicates High leverage.
In 2024, the Quick Ratio stands at 0.72  Risky and the Cash Ratio at 0.22 Below ideal.</t>
  </si>
  <si>
    <t>FINANCIAL STRUCTURE</t>
  </si>
  <si>
    <t>SCISSORS EFFECT</t>
  </si>
  <si>
    <t>WC/WCN/NC</t>
  </si>
  <si>
    <t>Adidas followed the scenario path Case 1 → Case 2 → Case 1 → Case 1, from Case 1  Ideal in 2021 to Case 1 deal in 2024.
In 2024: WC Positive (€2,311.0M), WCN  Positive (€1,358.0M), NC Positive (€953.0M), and  Net Debt of €4,241.0M.</t>
  </si>
  <si>
    <t>The Current Ratio has been mostly declining over 2021–2024 (20.2% ↓), moving from Healthy (1.56) to  adequate but tight (1.24) in 2024.
In 2024, the Quick Ratio stands at 0.72  Risky and the Cash Ratio at 0.22 Below ideal.</t>
  </si>
  <si>
    <t>ROE</t>
  </si>
  <si>
    <t>ROS</t>
  </si>
  <si>
    <t>ASSETS TURNOVER</t>
  </si>
  <si>
    <t>EQUITY MULTIPLIER</t>
  </si>
  <si>
    <t>DSO</t>
  </si>
  <si>
    <t>DIO</t>
  </si>
  <si>
    <t>DPO</t>
  </si>
  <si>
    <t>CCC</t>
  </si>
  <si>
    <t>PPE TURNOVER</t>
  </si>
  <si>
    <t>GROSS PROFIT MARGIN</t>
  </si>
  <si>
    <t>EBITDA</t>
  </si>
  <si>
    <t>EBITDA MARGIN</t>
  </si>
  <si>
    <t>EBIT MARGIN</t>
  </si>
  <si>
    <t>QUICK RATIO</t>
  </si>
  <si>
    <t>CASH RATIO</t>
  </si>
  <si>
    <t>D/E RATIO</t>
  </si>
  <si>
    <t>INTEREST COVERAGE</t>
  </si>
  <si>
    <t>NET DEBT/EBITDA</t>
  </si>
  <si>
    <t>DIVIDEND PAYOUT</t>
  </si>
  <si>
    <t>DIVIDEND YIELD</t>
  </si>
  <si>
    <t>EPS</t>
  </si>
  <si>
    <t>P/E RATIO</t>
  </si>
  <si>
    <t>P/B RATIO</t>
  </si>
  <si>
    <t xml:space="preserve">WORKING CAPITAL </t>
  </si>
  <si>
    <t>WORKING CAPITAL NEEDED</t>
  </si>
  <si>
    <t>NET CASH</t>
  </si>
  <si>
    <t>CAPITAL EMPLOYED</t>
  </si>
  <si>
    <t>INVESTED CAPITAL</t>
  </si>
  <si>
    <t>NET DEBT</t>
  </si>
  <si>
    <t>ENTREPRISE VALUE</t>
  </si>
  <si>
    <t>EV/EBITDA</t>
  </si>
  <si>
    <t>RATIO ANALYSIS</t>
  </si>
  <si>
    <t>Trend N-1</t>
  </si>
  <si>
    <t>Level of the Key indicator</t>
  </si>
  <si>
    <t>Balance Sheet</t>
  </si>
  <si>
    <t>Common-size</t>
  </si>
  <si>
    <t>Profitability analysis</t>
  </si>
  <si>
    <t xml:space="preserve">ROE </t>
  </si>
  <si>
    <t>&lt;5%</t>
  </si>
  <si>
    <t>5%&gt;&gt;&gt;10%</t>
  </si>
  <si>
    <t>10%&gt;&gt;15%</t>
  </si>
  <si>
    <t>&gt;15% check debt</t>
  </si>
  <si>
    <t>Intangible assets</t>
  </si>
  <si>
    <r>
      <t>&gt;15% sector</t>
    </r>
    <r>
      <rPr>
        <sz val="8"/>
        <color theme="1"/>
        <rFont val="Aptos Narrow"/>
        <family val="2"/>
        <scheme val="minor"/>
      </rPr>
      <t>( Retail / Lux)</t>
    </r>
  </si>
  <si>
    <t>Property, plant and equipment</t>
  </si>
  <si>
    <t>Assets turnover</t>
  </si>
  <si>
    <t>&lt;0,5</t>
  </si>
  <si>
    <t>0,5&lt;&lt;&lt;&lt;1</t>
  </si>
  <si>
    <t>1&lt;&lt;&lt;&lt;&lt;2</t>
  </si>
  <si>
    <t>&gt;2</t>
  </si>
  <si>
    <t>Other non-current assets</t>
  </si>
  <si>
    <t>Equity Multiplier</t>
  </si>
  <si>
    <t>&gt;4 risk</t>
  </si>
  <si>
    <t>2,5&lt;&lt;&lt;&lt;4</t>
  </si>
  <si>
    <t>1,5&lt;&lt;&lt;2,5</t>
  </si>
  <si>
    <t>&lt;1,5 safe</t>
  </si>
  <si>
    <t>Total non-current assets</t>
  </si>
  <si>
    <t xml:space="preserve">ROE decomposition: Traditional approach </t>
  </si>
  <si>
    <t>Inventories</t>
  </si>
  <si>
    <t>ROE = ROS x Assets turnover x Eq, Multiplier</t>
  </si>
  <si>
    <t>Accounts receivable</t>
  </si>
  <si>
    <t>Operating management: Profit margins</t>
  </si>
  <si>
    <t>Other current assets</t>
  </si>
  <si>
    <t>Gross profit margin</t>
  </si>
  <si>
    <t>&lt;20%</t>
  </si>
  <si>
    <t>20%&lt;&lt;40%</t>
  </si>
  <si>
    <t>40%&lt;&lt;60%</t>
  </si>
  <si>
    <t>&gt;60%  Luxe &amp; software</t>
  </si>
  <si>
    <t>Cash and cash equivalents</t>
  </si>
  <si>
    <r>
      <t>EBITDA (in £m/</t>
    </r>
    <r>
      <rPr>
        <sz val="11"/>
        <color rgb="FF000000"/>
        <rFont val="Times New Roman"/>
        <family val="1"/>
      </rPr>
      <t>€</t>
    </r>
    <r>
      <rPr>
        <sz val="11"/>
        <color rgb="FF000000"/>
        <rFont val="Aptos Narrow"/>
        <family val="2"/>
        <scheme val="minor"/>
      </rPr>
      <t>m)</t>
    </r>
  </si>
  <si>
    <t>Total current assets</t>
  </si>
  <si>
    <t xml:space="preserve">EBITDA margin </t>
  </si>
  <si>
    <t>&lt;10%</t>
  </si>
  <si>
    <t>10%&lt;&lt;&lt;20%</t>
  </si>
  <si>
    <t>20%&lt;&lt;&lt;30%</t>
  </si>
  <si>
    <t>&gt;30%</t>
  </si>
  <si>
    <t>Total assets</t>
  </si>
  <si>
    <t>Operating profit (or EBIT) margin</t>
  </si>
  <si>
    <t>Issued share capital</t>
  </si>
  <si>
    <t xml:space="preserve">Investment management: Working capital management </t>
  </si>
  <si>
    <t>Capital &amp; Other reserves</t>
  </si>
  <si>
    <t xml:space="preserve">Days' receivables </t>
  </si>
  <si>
    <t>&gt;60</t>
  </si>
  <si>
    <t>40&lt;&lt;&lt;&lt;60</t>
  </si>
  <si>
    <t>30&lt;&lt;&lt;&lt;40</t>
  </si>
  <si>
    <t>&lt;30</t>
  </si>
  <si>
    <t>Equity portion of convertible debt</t>
  </si>
  <si>
    <t xml:space="preserve"> -   </t>
  </si>
  <si>
    <t xml:space="preserve">-   </t>
  </si>
  <si>
    <t xml:space="preserve">Days' inventories </t>
  </si>
  <si>
    <t>Retained earnings</t>
  </si>
  <si>
    <t>Days' payables</t>
  </si>
  <si>
    <r>
      <t>&gt;60</t>
    </r>
    <r>
      <rPr>
        <sz val="8"/>
        <color theme="1"/>
        <rFont val="Aptos Narrow"/>
        <family val="2"/>
        <scheme val="minor"/>
      </rPr>
      <t xml:space="preserve"> (Commercial law)</t>
    </r>
  </si>
  <si>
    <t>Total equity</t>
  </si>
  <si>
    <t>&gt;90</t>
  </si>
  <si>
    <t>30&lt;&lt;&lt;&lt;90</t>
  </si>
  <si>
    <t>0&lt;&lt;&lt;&lt;&lt;30</t>
  </si>
  <si>
    <t>&lt;0 high the better</t>
  </si>
  <si>
    <r>
      <t>Borrowings &amp; similar liabilities</t>
    </r>
    <r>
      <rPr>
        <sz val="11"/>
        <color theme="0"/>
        <rFont val="Aptos Narrow"/>
        <family val="2"/>
        <scheme val="minor"/>
      </rPr>
      <t xml:space="preserve"> </t>
    </r>
    <r>
      <rPr>
        <i/>
        <sz val="11"/>
        <color theme="0"/>
        <rFont val="Aptos Narrow"/>
        <family val="2"/>
        <scheme val="minor"/>
      </rPr>
      <t>(interest-bearing)</t>
    </r>
  </si>
  <si>
    <t xml:space="preserve">Investment management: Non-current asset management </t>
  </si>
  <si>
    <t>Other non-current liabilities</t>
  </si>
  <si>
    <t xml:space="preserve">PP&amp;E turnover </t>
  </si>
  <si>
    <t>0,5&lt;&lt;&lt;&lt;&lt;1</t>
  </si>
  <si>
    <t>1&lt;&lt;&lt;&lt;&lt;&lt;2</t>
  </si>
  <si>
    <t xml:space="preserve">&gt;2 and Check </t>
  </si>
  <si>
    <t>Total non-current liabilities</t>
  </si>
  <si>
    <t xml:space="preserve">Financial management: Liquidity analysis </t>
  </si>
  <si>
    <t>Accounts payable</t>
  </si>
  <si>
    <t xml:space="preserve">Current ratio </t>
  </si>
  <si>
    <t>below 1</t>
  </si>
  <si>
    <t>1&gt;&gt;&gt;&gt;1,5</t>
  </si>
  <si>
    <t>1,5&gt;&gt;&gt;2</t>
  </si>
  <si>
    <t>&gt;&gt;&gt;3 ??? Check</t>
  </si>
  <si>
    <r>
      <t>Bank overdraft</t>
    </r>
    <r>
      <rPr>
        <sz val="11"/>
        <color theme="0"/>
        <rFont val="Aptos Narrow"/>
        <family val="2"/>
        <scheme val="minor"/>
      </rPr>
      <t xml:space="preserve"> </t>
    </r>
    <r>
      <rPr>
        <i/>
        <sz val="11"/>
        <color theme="0"/>
        <rFont val="Aptos Narrow"/>
        <family val="2"/>
        <scheme val="minor"/>
      </rPr>
      <t>(interest-bearing)</t>
    </r>
  </si>
  <si>
    <t xml:space="preserve">Quick ratio </t>
  </si>
  <si>
    <t>0,5&gt;&gt;&gt;&gt;1</t>
  </si>
  <si>
    <t>1&gt;&gt;&gt;1,5</t>
  </si>
  <si>
    <t>&gt;&gt;&gt;2 ??? Check</t>
  </si>
  <si>
    <t>Cash ratio</t>
  </si>
  <si>
    <t>Below 0</t>
  </si>
  <si>
    <t>below 0,5</t>
  </si>
  <si>
    <t>0,5&gt;&gt;&gt;1</t>
  </si>
  <si>
    <t>Higher is better</t>
  </si>
  <si>
    <t>Other current liabilities</t>
  </si>
  <si>
    <t xml:space="preserve">Financial management: Solvency analysis </t>
  </si>
  <si>
    <t>Total current liabilities</t>
  </si>
  <si>
    <t>Debt to equity</t>
  </si>
  <si>
    <t>&lt;0,6</t>
  </si>
  <si>
    <t>0,4&lt;&lt;&lt;0,6</t>
  </si>
  <si>
    <t>0,2&lt;&lt;&lt;0,4</t>
  </si>
  <si>
    <t>Total equity and liabilities</t>
  </si>
  <si>
    <t>Total debt ratio</t>
  </si>
  <si>
    <t>&gt;1,5</t>
  </si>
  <si>
    <t>1&lt;&lt;&lt;&lt;1,5</t>
  </si>
  <si>
    <t>Interest coverage</t>
  </si>
  <si>
    <t>&lt;1,5</t>
  </si>
  <si>
    <t>1,5&lt;&lt;&lt;&lt;3</t>
  </si>
  <si>
    <t>3&lt;&lt;&lt;&lt;&lt;5</t>
  </si>
  <si>
    <t>&gt;5</t>
  </si>
  <si>
    <t>Income Statement</t>
  </si>
  <si>
    <t>Net Debt-to-EBITDA</t>
  </si>
  <si>
    <t>&gt;3</t>
  </si>
  <si>
    <t>2&lt;&lt;&lt;&lt;&lt;3</t>
  </si>
  <si>
    <t>&lt;1</t>
  </si>
  <si>
    <t>Ratio for investors/shareholders</t>
  </si>
  <si>
    <t>Revenue (Net Sales)</t>
  </si>
  <si>
    <t>Dividend payout ratio</t>
  </si>
  <si>
    <t>0&lt;&lt;&lt;0,3</t>
  </si>
  <si>
    <t>0,3&lt;&lt;&lt;0,5</t>
  </si>
  <si>
    <t>0,5&lt;&lt;&lt;0,6</t>
  </si>
  <si>
    <t>&gt;0,6</t>
  </si>
  <si>
    <t>Cost of Sales</t>
  </si>
  <si>
    <t>Dividend yield</t>
  </si>
  <si>
    <t>&lt;1%</t>
  </si>
  <si>
    <t>1%&lt;&lt;&lt;3%</t>
  </si>
  <si>
    <t>3%&lt;&lt;&lt;6%</t>
  </si>
  <si>
    <t>&gt;6%</t>
  </si>
  <si>
    <t>Gross Profit</t>
  </si>
  <si>
    <t>Earnings per share</t>
  </si>
  <si>
    <t>Decreasing</t>
  </si>
  <si>
    <t>&lt;0</t>
  </si>
  <si>
    <t>&gt;0</t>
  </si>
  <si>
    <t>Increasing</t>
  </si>
  <si>
    <t>Royalties &amp; Commission Income</t>
  </si>
  <si>
    <t>P/E ratio</t>
  </si>
  <si>
    <t>N/A</t>
  </si>
  <si>
    <t>&lt;10</t>
  </si>
  <si>
    <t>10&lt;&lt;&lt;20</t>
  </si>
  <si>
    <t>20&lt;&lt;&lt;&lt;40</t>
  </si>
  <si>
    <t>&gt;40</t>
  </si>
  <si>
    <t>Other Operating Income</t>
  </si>
  <si>
    <t>P/B ratio</t>
  </si>
  <si>
    <t>1,5&lt;&lt;&lt;&lt;2</t>
  </si>
  <si>
    <t>Marketing &amp; Point-of-Sale Exp.</t>
  </si>
  <si>
    <t xml:space="preserve">Statement of Financial Structure (SFS) (in m) </t>
  </si>
  <si>
    <t>Distribution &amp; Selling Exp.</t>
  </si>
  <si>
    <t xml:space="preserve">Working Capital (WC) </t>
  </si>
  <si>
    <t>General &amp; Admin Expenses</t>
  </si>
  <si>
    <t>Working Capital Need (WCN)</t>
  </si>
  <si>
    <t xml:space="preserve">Net Cash (NC) </t>
  </si>
  <si>
    <t>Depreciation &amp; Amortisation</t>
  </si>
  <si>
    <t>Capital Employed</t>
  </si>
  <si>
    <t>Operating Profit (EBIT)</t>
  </si>
  <si>
    <t>Invested Capital</t>
  </si>
  <si>
    <t>Financial Income</t>
  </si>
  <si>
    <t>Net Debt</t>
  </si>
  <si>
    <t>Financial Expenses</t>
  </si>
  <si>
    <t>EV</t>
  </si>
  <si>
    <t>Negative High the better</t>
  </si>
  <si>
    <t>Net Financial Result</t>
  </si>
  <si>
    <t>Positive High the better</t>
  </si>
  <si>
    <t>Income Before Taxes (EBT)</t>
  </si>
  <si>
    <t>Net Debt/EBITDA</t>
  </si>
  <si>
    <t>&lt;3</t>
  </si>
  <si>
    <t>3&lt;&lt;&lt;&lt;5</t>
  </si>
  <si>
    <t>Income Tax Expense</t>
  </si>
  <si>
    <t>&lt;1 and negative better</t>
  </si>
  <si>
    <t>Net Income from Cont. Operations</t>
  </si>
  <si>
    <t>Discontinued Operations</t>
  </si>
  <si>
    <t>-</t>
  </si>
  <si>
    <t>Net Income (attributable to ADS)</t>
  </si>
  <si>
    <t>Cashflow  Statement</t>
  </si>
  <si>
    <t>OPERATING ACTIVITIES</t>
  </si>
  <si>
    <t>Indirect Method</t>
  </si>
  <si>
    <t>Net Income</t>
  </si>
  <si>
    <t>Description</t>
  </si>
  <si>
    <t>N</t>
  </si>
  <si>
    <t>a</t>
  </si>
  <si>
    <r>
      <t xml:space="preserve">Operating Cash Flows (1)  OP </t>
    </r>
    <r>
      <rPr>
        <b/>
        <vertAlign val="subscript"/>
        <sz val="11"/>
        <color theme="0"/>
        <rFont val="Aptos Narrow"/>
        <family val="2"/>
        <scheme val="minor"/>
      </rPr>
      <t>CF</t>
    </r>
  </si>
  <si>
    <t>Impairment / Reversals (net)</t>
  </si>
  <si>
    <t>Fixed asset disposals</t>
  </si>
  <si>
    <t>Changes in Inventories</t>
  </si>
  <si>
    <t>- Capital expenditure</t>
  </si>
  <si>
    <t>Changes in Accounts Receivable</t>
  </si>
  <si>
    <r>
      <t xml:space="preserve">Investment Cash Flows (2)  Invest </t>
    </r>
    <r>
      <rPr>
        <b/>
        <vertAlign val="subscript"/>
        <sz val="11"/>
        <color theme="0"/>
        <rFont val="Aptos Narrow"/>
        <family val="2"/>
        <scheme val="minor"/>
      </rPr>
      <t>CF</t>
    </r>
  </si>
  <si>
    <t>Changes in Accounts Payable &amp; Other</t>
  </si>
  <si>
    <t>(1) + (2) = Free cash flows (3) FCF</t>
  </si>
  <si>
    <t>Income Taxes Paid</t>
  </si>
  <si>
    <t>Loan received</t>
  </si>
  <si>
    <t>Other Operating Adjustments</t>
  </si>
  <si>
    <t>Net Cash from Operating Activities</t>
  </si>
  <si>
    <t>- Financial payments debt (principal &amp; interest)</t>
  </si>
  <si>
    <t>- Dividends paid</t>
  </si>
  <si>
    <t>INVESTING ACTIVITIES</t>
  </si>
  <si>
    <t>- Own shares purchase</t>
  </si>
  <si>
    <t>Capital Expenditures (Capex)</t>
  </si>
  <si>
    <t>Financing cash flows (4) FiCF</t>
  </si>
  <si>
    <t>Acquisitions</t>
  </si>
  <si>
    <t>(3) + (4) = Total cash flows (or net increase in cash) TCF</t>
  </si>
  <si>
    <t>Proceeds from Divestitures</t>
  </si>
  <si>
    <t>Other Investing Activities</t>
  </si>
  <si>
    <t>Net Cash from Investing Activities</t>
  </si>
  <si>
    <t>FINANCING ACTIVITIES</t>
  </si>
  <si>
    <t>Issuance of Debt</t>
  </si>
  <si>
    <t>Repayment of Debt</t>
  </si>
  <si>
    <t>Repayments of Lease Liabilities</t>
  </si>
  <si>
    <t>Dividends Paid</t>
  </si>
  <si>
    <t>Share Buybacks</t>
  </si>
  <si>
    <t>Issuance of Equity</t>
  </si>
  <si>
    <t>Other Financing Activities</t>
  </si>
  <si>
    <t>Net Cash from Financing Activities</t>
  </si>
  <si>
    <t>SUMMARY</t>
  </si>
  <si>
    <t>FX Effects on Cash</t>
  </si>
  <si>
    <t>Net Change in Cash</t>
  </si>
  <si>
    <t>Opening Cash &amp; Equivalents</t>
  </si>
  <si>
    <t>Closing Cash &amp; Equivalents</t>
  </si>
  <si>
    <t>$ADS listed in the Frankfurt exchange</t>
  </si>
  <si>
    <t>Weighted average shares outstanding</t>
  </si>
  <si>
    <t>Thousand shares</t>
  </si>
  <si>
    <t>Share price (year end)</t>
  </si>
  <si>
    <t xml:space="preserve">€ per share </t>
  </si>
  <si>
    <t>Dividends distributed</t>
  </si>
  <si>
    <t>€Thousand</t>
  </si>
  <si>
    <t>Dividend per share</t>
  </si>
  <si>
    <t>€ per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</si>
</sst>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2]\ #.##0\.00;[Red]\-[$€-2]\ #.##0\.00"/>
    <numFmt numFmtId="167" formatCode="0.000"/>
  </numFmts>
  <fonts count="36">
    <font>
      <sz val="11"/>
      <color theme="1"/>
      <name val="Aptos Narrow"/>
      <family val="2"/>
      <scheme val="minor"/>
    </font>
    <font>
      <sz val="11"/>
      <color theme="0"/>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0"/>
      <name val="Barlow Condense"/>
    </font>
    <font>
      <b/>
      <sz val="26"/>
      <color theme="0"/>
      <name val="Barlow Condensed"/>
    </font>
    <font>
      <b/>
      <sz val="14"/>
      <color rgb="FF474747"/>
      <name val="Barlow Condensed"/>
    </font>
    <font>
      <b/>
      <sz val="30"/>
      <name val="Barlow Condensed"/>
    </font>
    <font>
      <b/>
      <sz val="15"/>
      <color theme="2" tint="-0.499984740745262"/>
      <name val="Barlow Condensed"/>
    </font>
    <font>
      <sz val="11"/>
      <color rgb="FFF2F0EB"/>
      <name val="Aptos Narrow"/>
      <family val="2"/>
      <scheme val="minor"/>
    </font>
    <font>
      <b/>
      <sz val="20"/>
      <color theme="2" tint="-0.499984740745262"/>
      <name val="Barlow Condensed"/>
    </font>
    <font>
      <b/>
      <sz val="11"/>
      <color rgb="FF000000"/>
      <name val="Aptos Narrow"/>
      <family val="2"/>
      <scheme val="minor"/>
    </font>
    <font>
      <b/>
      <sz val="11"/>
      <color rgb="FFFFFFFF"/>
      <name val="Aptos Narrow"/>
      <family val="2"/>
      <scheme val="minor"/>
    </font>
    <font>
      <b/>
      <i/>
      <sz val="11"/>
      <color theme="0"/>
      <name val="Aptos Narrow"/>
      <family val="2"/>
      <scheme val="minor"/>
    </font>
    <font>
      <sz val="11"/>
      <color rgb="FF000000"/>
      <name val="Aptos Narrow"/>
      <family val="2"/>
      <scheme val="minor"/>
    </font>
    <font>
      <sz val="11"/>
      <color rgb="FFFFFFFF"/>
      <name val="Aptos Narrow"/>
      <family val="2"/>
      <scheme val="minor"/>
    </font>
    <font>
      <sz val="8"/>
      <color theme="1"/>
      <name val="Aptos Narrow"/>
      <family val="2"/>
      <scheme val="minor"/>
    </font>
    <font>
      <sz val="11"/>
      <color rgb="FF000000"/>
      <name val="Times New Roman"/>
      <family val="1"/>
    </font>
    <font>
      <i/>
      <sz val="11"/>
      <color theme="0"/>
      <name val="Aptos Narrow"/>
      <family val="2"/>
      <scheme val="minor"/>
    </font>
    <font>
      <sz val="12"/>
      <color rgb="FF000000"/>
      <name val="Calibri"/>
      <family val="2"/>
      <charset val="1"/>
    </font>
    <font>
      <b/>
      <sz val="14"/>
      <color theme="2" tint="-0.749992370372631"/>
      <name val="Barlow Condensed"/>
    </font>
    <font>
      <sz val="11"/>
      <color rgb="FF000000"/>
      <name val="Calibri"/>
      <family val="2"/>
    </font>
    <font>
      <b/>
      <sz val="11"/>
      <color rgb="FF000000"/>
      <name val="Calibri"/>
      <family val="2"/>
    </font>
    <font>
      <sz val="10"/>
      <color theme="1"/>
      <name val="Arial"/>
      <family val="2"/>
    </font>
    <font>
      <b/>
      <sz val="10"/>
      <color theme="1"/>
      <name val="Arial"/>
      <family val="2"/>
    </font>
    <font>
      <sz val="10"/>
      <color rgb="FF0000FF"/>
      <name val="Arial"/>
      <family val="2"/>
    </font>
    <font>
      <sz val="12"/>
      <color theme="1"/>
      <name val="Calibri"/>
      <family val="2"/>
    </font>
    <font>
      <b/>
      <sz val="11"/>
      <color theme="0"/>
      <name val="Calibri"/>
      <family val="2"/>
    </font>
    <font>
      <b/>
      <sz val="14"/>
      <color theme="0"/>
      <name val="Aptos Narrow"/>
      <family val="2"/>
      <scheme val="minor"/>
    </font>
    <font>
      <b/>
      <vertAlign val="subscript"/>
      <sz val="11"/>
      <color theme="0"/>
      <name val="Aptos Narrow"/>
      <family val="2"/>
      <scheme val="minor"/>
    </font>
    <font>
      <sz val="11"/>
      <name val="Calibri"/>
      <family val="2"/>
    </font>
    <font>
      <sz val="14"/>
      <color theme="1"/>
      <name val="Barlow Condensed"/>
    </font>
    <font>
      <sz val="14"/>
      <color theme="1"/>
      <name val="Aptos Narrow"/>
      <family val="2"/>
      <scheme val="minor"/>
    </font>
    <font>
      <b/>
      <sz val="11"/>
      <color rgb="FFFF0000"/>
      <name val="Aptos Narrow"/>
      <family val="2"/>
      <scheme val="minor"/>
    </font>
    <font>
      <b/>
      <sz val="10"/>
      <color rgb="FFFF0000"/>
      <name val="Arial"/>
      <family val="2"/>
    </font>
  </fonts>
  <fills count="16">
    <fill>
      <patternFill patternType="none"/>
    </fill>
    <fill>
      <patternFill patternType="gray125"/>
    </fill>
    <fill>
      <patternFill patternType="solid">
        <fgColor theme="1"/>
        <bgColor indexed="64"/>
      </patternFill>
    </fill>
    <fill>
      <patternFill patternType="solid">
        <fgColor rgb="FF313131"/>
        <bgColor indexed="64"/>
      </patternFill>
    </fill>
    <fill>
      <patternFill patternType="solid">
        <fgColor rgb="FFFF0000"/>
        <bgColor indexed="64"/>
      </patternFill>
    </fill>
    <fill>
      <patternFill patternType="solid">
        <fgColor rgb="FFF2F0EB"/>
        <bgColor indexed="64"/>
      </patternFill>
    </fill>
    <fill>
      <patternFill patternType="solid">
        <fgColor rgb="FFFFFF00"/>
        <bgColor indexed="64"/>
      </patternFill>
    </fill>
    <fill>
      <patternFill patternType="solid">
        <fgColor rgb="FFFFFFFF"/>
        <bgColor indexed="64"/>
      </patternFill>
    </fill>
    <fill>
      <patternFill patternType="solid">
        <fgColor rgb="FF000000"/>
        <bgColor rgb="FF000000"/>
      </patternFill>
    </fill>
    <fill>
      <patternFill patternType="solid">
        <fgColor theme="1"/>
        <bgColor rgb="FF000000"/>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top style="thin">
        <color indexed="64"/>
      </top>
      <bottom style="double">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3">
    <xf numFmtId="0" fontId="0" fillId="0" borderId="0"/>
    <xf numFmtId="9" fontId="2" fillId="0" borderId="0" applyFont="0" applyFill="0" applyBorder="0" applyAlignment="0" applyProtection="0"/>
    <xf numFmtId="0" fontId="2" fillId="0" borderId="0"/>
  </cellStyleXfs>
  <cellXfs count="140">
    <xf numFmtId="0" fontId="0" fillId="0" borderId="0" xfId="0"/>
    <xf numFmtId="0" fontId="0" fillId="4" borderId="0" xfId="0" applyFill="1"/>
    <xf numFmtId="0" fontId="0" fillId="5" borderId="0" xfId="0" applyFill="1"/>
    <xf numFmtId="0" fontId="0" fillId="6" borderId="0" xfId="0" applyFill="1"/>
    <xf numFmtId="0" fontId="0" fillId="7" borderId="1" xfId="0" applyFill="1" applyBorder="1"/>
    <xf numFmtId="0" fontId="0" fillId="7" borderId="2" xfId="0" applyFill="1" applyBorder="1"/>
    <xf numFmtId="0" fontId="0" fillId="7" borderId="3" xfId="0" applyFill="1" applyBorder="1"/>
    <xf numFmtId="0" fontId="0" fillId="7" borderId="4" xfId="0" applyFill="1" applyBorder="1"/>
    <xf numFmtId="0" fontId="0" fillId="7" borderId="0" xfId="0" applyFill="1"/>
    <xf numFmtId="0" fontId="0" fillId="7" borderId="5" xfId="0" applyFill="1" applyBorder="1"/>
    <xf numFmtId="0" fontId="0" fillId="7" borderId="6" xfId="0" applyFill="1" applyBorder="1"/>
    <xf numFmtId="0" fontId="0" fillId="7" borderId="7" xfId="0" applyFill="1" applyBorder="1"/>
    <xf numFmtId="0" fontId="0" fillId="7" borderId="8" xfId="0" applyFill="1" applyBorder="1"/>
    <xf numFmtId="0" fontId="0" fillId="7" borderId="0" xfId="0" applyFill="1" applyAlignment="1">
      <alignment horizontal="center"/>
    </xf>
    <xf numFmtId="0" fontId="8" fillId="7" borderId="0" xfId="0" applyFont="1" applyFill="1" applyAlignment="1">
      <alignment horizontal="center" vertical="center"/>
    </xf>
    <xf numFmtId="0" fontId="9" fillId="7" borderId="0" xfId="0" quotePrefix="1" applyFont="1" applyFill="1" applyAlignment="1">
      <alignment vertical="center"/>
    </xf>
    <xf numFmtId="0" fontId="9" fillId="7" borderId="0" xfId="0" applyFont="1" applyFill="1" applyAlignment="1">
      <alignment vertical="center"/>
    </xf>
    <xf numFmtId="0" fontId="10" fillId="7" borderId="4" xfId="0" applyFont="1" applyFill="1" applyBorder="1"/>
    <xf numFmtId="0" fontId="11" fillId="7" borderId="0" xfId="0" applyFont="1" applyFill="1" applyAlignment="1">
      <alignment horizontal="left" vertical="center"/>
    </xf>
    <xf numFmtId="0" fontId="11" fillId="7" borderId="0" xfId="0" applyFont="1" applyFill="1" applyAlignment="1">
      <alignment vertical="center"/>
    </xf>
    <xf numFmtId="0" fontId="12" fillId="0" borderId="9" xfId="0" applyFont="1" applyBorder="1" applyAlignment="1">
      <alignment horizontal="centerContinuous"/>
    </xf>
    <xf numFmtId="0" fontId="13" fillId="8" borderId="10" xfId="0" applyFont="1" applyFill="1" applyBorder="1" applyAlignment="1">
      <alignment horizontal="center"/>
    </xf>
    <xf numFmtId="0" fontId="13" fillId="8" borderId="11" xfId="0" applyFont="1" applyFill="1" applyBorder="1" applyAlignment="1">
      <alignment horizontal="center"/>
    </xf>
    <xf numFmtId="0" fontId="13" fillId="8" borderId="12" xfId="0" applyFont="1" applyFill="1" applyBorder="1" applyAlignment="1">
      <alignment horizontal="center"/>
    </xf>
    <xf numFmtId="0" fontId="15" fillId="0" borderId="17" xfId="0" applyFont="1" applyBorder="1"/>
    <xf numFmtId="164" fontId="16" fillId="8" borderId="0" xfId="1" applyNumberFormat="1" applyFont="1" applyFill="1" applyAlignment="1">
      <alignment horizontal="center"/>
    </xf>
    <xf numFmtId="0" fontId="0" fillId="10" borderId="0" xfId="0" applyFill="1"/>
    <xf numFmtId="0" fontId="0" fillId="0" borderId="17" xfId="0" applyBorder="1"/>
    <xf numFmtId="2" fontId="16" fillId="8" borderId="0" xfId="0" applyNumberFormat="1" applyFont="1" applyFill="1" applyAlignment="1">
      <alignment horizontal="center"/>
    </xf>
    <xf numFmtId="0" fontId="15" fillId="0" borderId="17" xfId="0" applyFont="1" applyBorder="1" applyAlignment="1">
      <alignment horizontal="left"/>
    </xf>
    <xf numFmtId="0" fontId="4" fillId="0" borderId="17" xfId="0" applyFont="1" applyBorder="1"/>
    <xf numFmtId="165" fontId="16" fillId="8" borderId="0" xfId="0" applyNumberFormat="1" applyFont="1" applyFill="1" applyAlignment="1">
      <alignment horizontal="center"/>
    </xf>
    <xf numFmtId="0" fontId="0" fillId="0" borderId="17" xfId="0" applyBorder="1" applyAlignment="1">
      <alignment vertical="center"/>
    </xf>
    <xf numFmtId="0" fontId="4" fillId="0" borderId="15" xfId="0" applyFont="1" applyBorder="1" applyAlignment="1">
      <alignment vertical="center"/>
    </xf>
    <xf numFmtId="0" fontId="15" fillId="0" borderId="15" xfId="0" applyFont="1" applyBorder="1"/>
    <xf numFmtId="0" fontId="12" fillId="0" borderId="20" xfId="0" applyFont="1" applyBorder="1"/>
    <xf numFmtId="0" fontId="0" fillId="6" borderId="0" xfId="0" applyFill="1" applyAlignment="1">
      <alignment horizontal="center" vertical="center"/>
    </xf>
    <xf numFmtId="0" fontId="15" fillId="0" borderId="0" xfId="0" applyFont="1"/>
    <xf numFmtId="2" fontId="16" fillId="8" borderId="0" xfId="1" applyNumberFormat="1" applyFont="1" applyFill="1" applyAlignment="1">
      <alignment horizontal="center"/>
    </xf>
    <xf numFmtId="10" fontId="16" fillId="8" borderId="0" xfId="1" applyNumberFormat="1" applyFont="1" applyFill="1" applyAlignment="1">
      <alignment horizontal="center"/>
    </xf>
    <xf numFmtId="0" fontId="20" fillId="0" borderId="0" xfId="0" applyFont="1"/>
    <xf numFmtId="166" fontId="20" fillId="0" borderId="0" xfId="0" applyNumberFormat="1" applyFont="1"/>
    <xf numFmtId="0" fontId="8" fillId="7" borderId="0" xfId="0" applyFont="1" applyFill="1"/>
    <xf numFmtId="0" fontId="10" fillId="7" borderId="0" xfId="0" applyFont="1" applyFill="1"/>
    <xf numFmtId="0" fontId="21" fillId="7" borderId="0" xfId="0" applyFont="1" applyFill="1" applyAlignment="1">
      <alignment horizontal="left"/>
    </xf>
    <xf numFmtId="0" fontId="8" fillId="7" borderId="0" xfId="0" applyFont="1" applyFill="1" applyAlignment="1">
      <alignment vertical="center"/>
    </xf>
    <xf numFmtId="0" fontId="21" fillId="7" borderId="0" xfId="0" applyFont="1" applyFill="1"/>
    <xf numFmtId="0" fontId="2" fillId="2" borderId="0" xfId="2" applyFill="1"/>
    <xf numFmtId="0" fontId="2" fillId="4" borderId="0" xfId="2" applyFill="1"/>
    <xf numFmtId="0" fontId="2" fillId="3" borderId="0" xfId="2" applyFill="1"/>
    <xf numFmtId="0" fontId="5" fillId="2" borderId="0" xfId="2" applyFont="1" applyFill="1" applyAlignment="1">
      <alignment vertical="top"/>
    </xf>
    <xf numFmtId="3" fontId="22" fillId="0" borderId="4" xfId="0" applyNumberFormat="1" applyFont="1" applyBorder="1"/>
    <xf numFmtId="3" fontId="23" fillId="0" borderId="4" xfId="0" applyNumberFormat="1" applyFont="1" applyBorder="1"/>
    <xf numFmtId="3" fontId="23" fillId="0" borderId="18" xfId="0" applyNumberFormat="1" applyFont="1" applyBorder="1"/>
    <xf numFmtId="0" fontId="24" fillId="0" borderId="0" xfId="0" applyFont="1"/>
    <xf numFmtId="0" fontId="25" fillId="0" borderId="0" xfId="0" applyFont="1"/>
    <xf numFmtId="3" fontId="26" fillId="0" borderId="0" xfId="0" applyNumberFormat="1" applyFont="1"/>
    <xf numFmtId="3" fontId="25" fillId="0" borderId="0" xfId="0" applyNumberFormat="1" applyFont="1"/>
    <xf numFmtId="0" fontId="26" fillId="0" borderId="0" xfId="0" applyFont="1"/>
    <xf numFmtId="3" fontId="0" fillId="0" borderId="0" xfId="0" applyNumberFormat="1"/>
    <xf numFmtId="3" fontId="4" fillId="0" borderId="0" xfId="0" applyNumberFormat="1" applyFont="1"/>
    <xf numFmtId="0" fontId="27" fillId="0" borderId="0" xfId="0" applyFont="1"/>
    <xf numFmtId="0" fontId="4" fillId="0" borderId="0" xfId="0" applyFont="1"/>
    <xf numFmtId="0" fontId="28" fillId="2" borderId="26" xfId="0" applyFont="1" applyFill="1" applyBorder="1" applyAlignment="1">
      <alignment horizontal="center" vertical="top"/>
    </xf>
    <xf numFmtId="0" fontId="3" fillId="13" borderId="27" xfId="0" applyFont="1" applyFill="1" applyBorder="1"/>
    <xf numFmtId="0" fontId="0" fillId="0" borderId="27" xfId="0" applyBorder="1"/>
    <xf numFmtId="0" fontId="3" fillId="14" borderId="27" xfId="0" applyFont="1" applyFill="1" applyBorder="1"/>
    <xf numFmtId="0" fontId="3" fillId="14" borderId="28" xfId="0" applyFont="1" applyFill="1" applyBorder="1"/>
    <xf numFmtId="3" fontId="16" fillId="8" borderId="0" xfId="0" applyNumberFormat="1" applyFont="1" applyFill="1" applyAlignment="1">
      <alignment horizontal="center"/>
    </xf>
    <xf numFmtId="0" fontId="3" fillId="9" borderId="10" xfId="0" applyFont="1" applyFill="1" applyBorder="1" applyAlignment="1">
      <alignment horizontal="center"/>
    </xf>
    <xf numFmtId="0" fontId="3" fillId="9" borderId="11" xfId="0" applyFont="1" applyFill="1" applyBorder="1" applyAlignment="1">
      <alignment horizontal="center"/>
    </xf>
    <xf numFmtId="165" fontId="15" fillId="0" borderId="0" xfId="0" applyNumberFormat="1" applyFont="1"/>
    <xf numFmtId="2" fontId="15" fillId="0" borderId="0" xfId="0" applyNumberFormat="1" applyFont="1"/>
    <xf numFmtId="167" fontId="16" fillId="8" borderId="19" xfId="0" applyNumberFormat="1" applyFont="1" applyFill="1" applyBorder="1" applyAlignment="1">
      <alignment horizontal="center"/>
    </xf>
    <xf numFmtId="3" fontId="31" fillId="0" borderId="4" xfId="0" applyNumberFormat="1" applyFont="1" applyBorder="1"/>
    <xf numFmtId="9" fontId="22" fillId="0" borderId="4" xfId="1" applyFont="1" applyBorder="1" applyAlignment="1">
      <alignment horizontal="center"/>
    </xf>
    <xf numFmtId="3" fontId="22" fillId="0" borderId="4" xfId="0" applyNumberFormat="1" applyFont="1" applyBorder="1" applyAlignment="1">
      <alignment horizontal="center"/>
    </xf>
    <xf numFmtId="0" fontId="8" fillId="7" borderId="0" xfId="0" applyFont="1" applyFill="1" applyAlignment="1">
      <alignment horizontal="left" vertical="center"/>
    </xf>
    <xf numFmtId="0" fontId="21" fillId="7" borderId="0" xfId="0" applyFont="1" applyFill="1" applyAlignment="1">
      <alignment horizontal="left" vertical="center"/>
    </xf>
    <xf numFmtId="3" fontId="31" fillId="0" borderId="4" xfId="0" applyNumberFormat="1" applyFont="1" applyBorder="1" applyAlignment="1">
      <alignment horizontal="center"/>
    </xf>
    <xf numFmtId="3" fontId="23" fillId="0" borderId="18" xfId="0" applyNumberFormat="1" applyFont="1" applyBorder="1" applyAlignment="1">
      <alignment horizontal="center"/>
    </xf>
    <xf numFmtId="3" fontId="23" fillId="0" borderId="4" xfId="0" applyNumberFormat="1" applyFont="1" applyBorder="1" applyAlignment="1">
      <alignment horizontal="center"/>
    </xf>
    <xf numFmtId="9" fontId="0" fillId="0" borderId="0" xfId="1" applyFont="1" applyAlignment="1">
      <alignment horizontal="center"/>
    </xf>
    <xf numFmtId="0" fontId="13" fillId="8" borderId="23" xfId="0" applyFont="1" applyFill="1" applyBorder="1" applyAlignment="1">
      <alignment horizontal="center"/>
    </xf>
    <xf numFmtId="0" fontId="13" fillId="8" borderId="0" xfId="0" applyFont="1" applyFill="1" applyAlignment="1">
      <alignment horizontal="center"/>
    </xf>
    <xf numFmtId="0" fontId="0" fillId="2" borderId="23" xfId="0" applyFill="1" applyBorder="1" applyAlignment="1">
      <alignment horizontal="center"/>
    </xf>
    <xf numFmtId="0" fontId="12" fillId="2" borderId="21" xfId="0" applyFont="1" applyFill="1" applyBorder="1"/>
    <xf numFmtId="0" fontId="12" fillId="2" borderId="21" xfId="0" applyFont="1" applyFill="1" applyBorder="1" applyAlignment="1">
      <alignment horizontal="center"/>
    </xf>
    <xf numFmtId="3" fontId="34" fillId="0" borderId="0" xfId="0" applyNumberFormat="1" applyFont="1"/>
    <xf numFmtId="0" fontId="35" fillId="0" borderId="0" xfId="0" applyFont="1"/>
    <xf numFmtId="3" fontId="1" fillId="2" borderId="0" xfId="0" applyNumberFormat="1" applyFont="1" applyFill="1" applyAlignment="1">
      <alignment horizontal="center"/>
    </xf>
    <xf numFmtId="0" fontId="1" fillId="2" borderId="0" xfId="0" applyFont="1" applyFill="1" applyAlignment="1">
      <alignment horizontal="center"/>
    </xf>
    <xf numFmtId="167" fontId="1" fillId="2" borderId="0" xfId="0" applyNumberFormat="1" applyFont="1" applyFill="1" applyAlignment="1">
      <alignment horizontal="center"/>
    </xf>
    <xf numFmtId="167" fontId="1" fillId="15" borderId="0" xfId="0" applyNumberFormat="1" applyFont="1" applyFill="1" applyAlignment="1">
      <alignment horizontal="center"/>
    </xf>
    <xf numFmtId="0" fontId="8" fillId="7" borderId="5" xfId="0" applyFont="1" applyFill="1" applyBorder="1" applyAlignment="1">
      <alignment horizontal="left" vertical="center"/>
    </xf>
    <xf numFmtId="0" fontId="0" fillId="7" borderId="0" xfId="0" applyFill="1" applyAlignment="1">
      <alignment horizontal="center"/>
    </xf>
    <xf numFmtId="0" fontId="11" fillId="7" borderId="0" xfId="0" applyFont="1" applyFill="1" applyAlignment="1">
      <alignment horizontal="left" vertical="center"/>
    </xf>
    <xf numFmtId="10" fontId="8" fillId="7" borderId="0" xfId="1" applyNumberFormat="1" applyFont="1" applyFill="1" applyAlignment="1">
      <alignment horizontal="left"/>
    </xf>
    <xf numFmtId="4" fontId="8" fillId="7" borderId="0" xfId="1" applyNumberFormat="1" applyFont="1" applyFill="1" applyAlignment="1">
      <alignment horizontal="left"/>
    </xf>
    <xf numFmtId="10" fontId="8" fillId="7" borderId="0" xfId="0" applyNumberFormat="1" applyFont="1" applyFill="1" applyAlignment="1">
      <alignment horizontal="left"/>
    </xf>
    <xf numFmtId="0" fontId="6" fillId="2" borderId="0" xfId="2" applyFont="1" applyFill="1" applyAlignment="1">
      <alignment horizontal="center"/>
    </xf>
    <xf numFmtId="0" fontId="7" fillId="2" borderId="0" xfId="2" applyFont="1" applyFill="1" applyAlignment="1">
      <alignment horizontal="center" vertical="top"/>
    </xf>
    <xf numFmtId="0" fontId="32" fillId="7" borderId="0" xfId="0" applyFont="1" applyFill="1" applyAlignment="1">
      <alignment horizontal="left" vertical="top" wrapText="1"/>
    </xf>
    <xf numFmtId="0" fontId="33" fillId="7" borderId="0" xfId="0" applyFont="1" applyFill="1" applyAlignment="1">
      <alignment horizontal="left" vertical="top"/>
    </xf>
    <xf numFmtId="0" fontId="8" fillId="7" borderId="0" xfId="0" applyFont="1" applyFill="1" applyAlignment="1">
      <alignment horizontal="left" vertical="center"/>
    </xf>
    <xf numFmtId="0" fontId="32" fillId="7" borderId="0" xfId="0" applyFont="1" applyFill="1" applyAlignment="1">
      <alignment horizontal="left" vertical="top"/>
    </xf>
    <xf numFmtId="0" fontId="9" fillId="7" borderId="0" xfId="0" quotePrefix="1" applyFont="1" applyFill="1" applyAlignment="1">
      <alignment horizontal="center" vertical="center"/>
    </xf>
    <xf numFmtId="0" fontId="8" fillId="7" borderId="0" xfId="0" applyFont="1" applyFill="1" applyAlignment="1">
      <alignment horizontal="left"/>
    </xf>
    <xf numFmtId="2" fontId="8" fillId="7" borderId="0" xfId="1" applyNumberFormat="1" applyFont="1" applyFill="1" applyAlignment="1">
      <alignment horizontal="left"/>
    </xf>
    <xf numFmtId="2" fontId="8" fillId="7" borderId="0" xfId="0" applyNumberFormat="1" applyFont="1" applyFill="1" applyAlignment="1">
      <alignment horizontal="left"/>
    </xf>
    <xf numFmtId="2" fontId="8" fillId="7" borderId="0" xfId="1" applyNumberFormat="1" applyFont="1" applyFill="1" applyAlignment="1">
      <alignment horizontal="left"/>
      <extLst>
        <ext xmlns:xfpb="http://schemas.microsoft.com/office/spreadsheetml/2022/featurepropertybag" uri="{C7286773-470A-42A8-94C5-96B5CB345126}">
          <xfpb:xfComplement i="0"/>
        </ext>
      </extLst>
    </xf>
    <xf numFmtId="164" fontId="8" fillId="7" borderId="0" xfId="1" applyNumberFormat="1" applyFont="1" applyFill="1" applyAlignment="1">
      <alignment horizontal="left"/>
    </xf>
    <xf numFmtId="10" fontId="8" fillId="7" borderId="0" xfId="1" applyNumberFormat="1" applyFont="1" applyFill="1" applyAlignment="1">
      <alignment horizontal="left"/>
      <extLst>
        <ext xmlns:xfpb="http://schemas.microsoft.com/office/spreadsheetml/2022/featurepropertybag" uri="{C7286773-470A-42A8-94C5-96B5CB345126}">
          <xfpb:xfComplement i="0"/>
        </ext>
      </extLst>
    </xf>
    <xf numFmtId="4" fontId="8" fillId="7" borderId="0" xfId="1" applyNumberFormat="1" applyFont="1" applyFill="1" applyAlignment="1">
      <alignment horizontal="left" indent="1"/>
    </xf>
    <xf numFmtId="0" fontId="3" fillId="2" borderId="11" xfId="0" applyFont="1" applyFill="1" applyBorder="1" applyAlignment="1">
      <alignment horizontal="center" vertical="center"/>
    </xf>
    <xf numFmtId="0" fontId="3" fillId="2" borderId="16" xfId="0" applyFont="1" applyFill="1" applyBorder="1" applyAlignment="1">
      <alignment horizontal="center" vertical="center"/>
    </xf>
    <xf numFmtId="0" fontId="29" fillId="2" borderId="26" xfId="0" applyFont="1" applyFill="1" applyBorder="1" applyAlignment="1">
      <alignment horizontal="center" vertical="center" wrapText="1"/>
    </xf>
    <xf numFmtId="0" fontId="29" fillId="2" borderId="29" xfId="0" applyFont="1" applyFill="1" applyBorder="1" applyAlignment="1">
      <alignment horizontal="center" vertical="center" wrapText="1"/>
    </xf>
    <xf numFmtId="0" fontId="29" fillId="2" borderId="30"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15" xfId="0" applyFont="1" applyFill="1" applyBorder="1" applyAlignment="1">
      <alignment horizontal="center" vertical="center"/>
    </xf>
    <xf numFmtId="0" fontId="14" fillId="9" borderId="13" xfId="0" applyFont="1" applyFill="1" applyBorder="1" applyAlignment="1">
      <alignment horizontal="left"/>
    </xf>
    <xf numFmtId="0" fontId="14" fillId="9" borderId="0" xfId="0" applyFont="1" applyFill="1" applyAlignment="1">
      <alignment horizontal="left"/>
    </xf>
    <xf numFmtId="0" fontId="14" fillId="9" borderId="14" xfId="0" applyFont="1" applyFill="1" applyBorder="1" applyAlignment="1">
      <alignment horizontal="left"/>
    </xf>
    <xf numFmtId="0" fontId="0" fillId="11" borderId="0" xfId="0" applyFill="1" applyAlignment="1">
      <alignment horizontal="center"/>
    </xf>
    <xf numFmtId="0" fontId="0" fillId="11" borderId="14" xfId="0" applyFill="1" applyBorder="1" applyAlignment="1">
      <alignment horizontal="center"/>
    </xf>
    <xf numFmtId="0" fontId="0" fillId="12" borderId="0" xfId="0" applyFill="1" applyAlignment="1">
      <alignment horizontal="center"/>
    </xf>
    <xf numFmtId="0" fontId="0" fillId="12" borderId="14" xfId="0" applyFill="1" applyBorder="1" applyAlignment="1">
      <alignment horizontal="center"/>
    </xf>
    <xf numFmtId="0" fontId="3" fillId="2" borderId="13" xfId="0" applyFont="1" applyFill="1" applyBorder="1" applyAlignment="1">
      <alignment horizontal="center"/>
    </xf>
    <xf numFmtId="0" fontId="3" fillId="2" borderId="0" xfId="0" applyFont="1" applyFill="1" applyAlignment="1">
      <alignment horizontal="center"/>
    </xf>
    <xf numFmtId="0" fontId="3" fillId="2" borderId="14" xfId="0" applyFont="1" applyFill="1" applyBorder="1" applyAlignment="1">
      <alignment horizontal="center"/>
    </xf>
    <xf numFmtId="0" fontId="14" fillId="9" borderId="5" xfId="0" applyFont="1" applyFill="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0" borderId="12" xfId="0" applyBorder="1" applyAlignment="1">
      <alignment horizontal="center"/>
    </xf>
    <xf numFmtId="0" fontId="0" fillId="0" borderId="24" xfId="0" applyBorder="1" applyAlignment="1">
      <alignment horizontal="center"/>
    </xf>
    <xf numFmtId="0" fontId="0" fillId="0" borderId="19" xfId="0" applyBorder="1" applyAlignment="1">
      <alignment horizontal="center"/>
    </xf>
    <xf numFmtId="0" fontId="0" fillId="0" borderId="25" xfId="0" applyBorder="1" applyAlignment="1">
      <alignment horizontal="center"/>
    </xf>
    <xf numFmtId="0" fontId="0" fillId="12" borderId="0" xfId="0" applyFill="1" applyAlignment="1">
      <alignment horizontal="center" vertical="center"/>
    </xf>
    <xf numFmtId="0" fontId="0" fillId="4" borderId="0" xfId="0" applyFill="1" applyAlignment="1">
      <alignment horizontal="center" vertical="center"/>
    </xf>
  </cellXfs>
  <cellStyles count="3">
    <cellStyle name="Normal" xfId="0" builtinId="0"/>
    <cellStyle name="Normal 2" xfId="2" xr:uid="{9335F752-2191-47D7-8DB6-BB13FB71FF30}"/>
    <cellStyle name="Per cent" xfId="1" builtinId="5"/>
  </cellStyles>
  <dxfs count="148">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00B05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C00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000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7030A0"/>
          </stop>
        </gradientFill>
      </fill>
    </dxf>
    <dxf>
      <fill>
        <gradientFill degree="180">
          <stop position="0">
            <color theme="0"/>
          </stop>
          <stop position="1">
            <color rgb="FF00B050"/>
          </stop>
        </gradientFill>
      </fill>
    </dxf>
    <dxf>
      <fill>
        <gradientFill degree="180">
          <stop position="0">
            <color theme="0"/>
          </stop>
          <stop position="1">
            <color rgb="FFFFC00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
      <fill>
        <gradientFill degree="180">
          <stop position="0">
            <color theme="0"/>
          </stop>
          <stop position="1">
            <color rgb="FFFF0000"/>
          </stop>
        </gradientFill>
      </fill>
    </dxf>
    <dxf>
      <fill>
        <gradientFill degree="180">
          <stop position="0">
            <color theme="0"/>
          </stop>
          <stop position="1">
            <color rgb="FFFFC000"/>
          </stop>
        </gradientFill>
      </fill>
    </dxf>
    <dxf>
      <fill>
        <gradientFill degree="180">
          <stop position="0">
            <color theme="0"/>
          </stop>
          <stop position="1">
            <color rgb="FF00B050"/>
          </stop>
        </gradientFill>
      </fill>
    </dxf>
    <dxf>
      <fill>
        <gradientFill degree="180">
          <stop position="0">
            <color theme="0"/>
          </stop>
          <stop position="1">
            <color rgb="FF7030A0"/>
          </stop>
        </gradientFill>
      </fill>
    </dxf>
  </dxfs>
  <tableStyles count="0" defaultTableStyle="TableStyleMedium2" defaultPivotStyle="PivotStyleLight16"/>
  <colors>
    <mruColors>
      <color rgb="FFF2F0EB"/>
      <color rgb="FF474747"/>
      <color rgb="FFFFFFFF"/>
      <color rgb="FF1A1A1A"/>
      <color rgb="FF313131"/>
      <color rgb="FF282828"/>
      <color rgb="FF2A2A2A"/>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b="1" i="0" u="none" strike="noStrike" baseline="0">
                <a:effectLst/>
              </a:rPr>
              <a:t>WC / WCN / NC Evolution (€M)</a:t>
            </a:r>
            <a:endParaRPr lang="en-GB"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WC</c:v>
          </c:tx>
          <c:spPr>
            <a:ln w="28575" cap="rnd">
              <a:solidFill>
                <a:srgbClr val="FF0000"/>
              </a:solidFill>
              <a:round/>
            </a:ln>
            <a:effectLst/>
          </c:spPr>
          <c:marker>
            <c:symbol val="none"/>
          </c:marker>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Statements'!$B$41:$I$41</c:f>
              <c:numCache>
                <c:formatCode>#,##0</c:formatCode>
                <c:ptCount val="8"/>
                <c:pt idx="0">
                  <c:v>4979000</c:v>
                </c:pt>
                <c:pt idx="1">
                  <c:v>2476000</c:v>
                </c:pt>
                <c:pt idx="2" formatCode="0.0%">
                  <c:v>-0.50271138782888136</c:v>
                </c:pt>
                <c:pt idx="3">
                  <c:v>1766000</c:v>
                </c:pt>
                <c:pt idx="4" formatCode="0.0%">
                  <c:v>-0.28675282714054928</c:v>
                </c:pt>
                <c:pt idx="5">
                  <c:v>2311000</c:v>
                </c:pt>
                <c:pt idx="6" formatCode="0.0%">
                  <c:v>0.30860702151755381</c:v>
                </c:pt>
                <c:pt idx="7">
                  <c:v>2533000</c:v>
                </c:pt>
              </c:numCache>
            </c:numRef>
          </c:val>
          <c:smooth val="0"/>
          <c:extLst>
            <c:ext xmlns:c16="http://schemas.microsoft.com/office/drawing/2014/chart" uri="{C3380CC4-5D6E-409C-BE32-E72D297353CC}">
              <c16:uniqueId val="{00000000-C8A6-44EC-8690-FA34CD26496F}"/>
            </c:ext>
          </c:extLst>
        </c:ser>
        <c:ser>
          <c:idx val="1"/>
          <c:order val="1"/>
          <c:tx>
            <c:v>WCN</c:v>
          </c:tx>
          <c:spPr>
            <a:ln w="28575" cap="rnd">
              <a:solidFill>
                <a:srgbClr val="00B050"/>
              </a:solidFill>
              <a:round/>
            </a:ln>
            <a:effectLst/>
          </c:spPr>
          <c:marker>
            <c:symbol val="none"/>
          </c:marker>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Statements'!$B$42:$I$42</c:f>
              <c:numCache>
                <c:formatCode>#,##0</c:formatCode>
                <c:ptCount val="8"/>
                <c:pt idx="0">
                  <c:v>1753000</c:v>
                </c:pt>
                <c:pt idx="1">
                  <c:v>2847000</c:v>
                </c:pt>
                <c:pt idx="2" formatCode="0.0%">
                  <c:v>0.62407301768397039</c:v>
                </c:pt>
                <c:pt idx="3">
                  <c:v>1640000</c:v>
                </c:pt>
                <c:pt idx="4" formatCode="0.0%">
                  <c:v>-0.4239550403933966</c:v>
                </c:pt>
                <c:pt idx="5">
                  <c:v>1358000</c:v>
                </c:pt>
                <c:pt idx="6" formatCode="0.0%">
                  <c:v>-0.17195121951219516</c:v>
                </c:pt>
                <c:pt idx="7">
                  <c:v>2514000</c:v>
                </c:pt>
              </c:numCache>
            </c:numRef>
          </c:val>
          <c:smooth val="0"/>
          <c:extLst>
            <c:ext xmlns:c16="http://schemas.microsoft.com/office/drawing/2014/chart" uri="{C3380CC4-5D6E-409C-BE32-E72D297353CC}">
              <c16:uniqueId val="{00000001-C8A6-44EC-8690-FA34CD26496F}"/>
            </c:ext>
          </c:extLst>
        </c:ser>
        <c:ser>
          <c:idx val="2"/>
          <c:order val="2"/>
          <c:tx>
            <c:v>NC</c:v>
          </c:tx>
          <c:spPr>
            <a:ln w="28575" cap="rnd">
              <a:solidFill>
                <a:srgbClr val="0070C0"/>
              </a:solidFill>
              <a:round/>
            </a:ln>
            <a:effectLst/>
          </c:spPr>
          <c:marker>
            <c:symbol val="none"/>
          </c:marker>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Statements'!$B$43:$I$43</c:f>
              <c:numCache>
                <c:formatCode>#,##0</c:formatCode>
                <c:ptCount val="8"/>
                <c:pt idx="0">
                  <c:v>3226000</c:v>
                </c:pt>
                <c:pt idx="1">
                  <c:v>-371000</c:v>
                </c:pt>
                <c:pt idx="2" formatCode="0.0%">
                  <c:v>-1.1150030998140112</c:v>
                </c:pt>
                <c:pt idx="3">
                  <c:v>126000</c:v>
                </c:pt>
                <c:pt idx="4" formatCode="0.0%">
                  <c:v>-1.3396226415094339</c:v>
                </c:pt>
                <c:pt idx="5">
                  <c:v>953000</c:v>
                </c:pt>
                <c:pt idx="6" formatCode="0.0%">
                  <c:v>6.5634920634920633</c:v>
                </c:pt>
                <c:pt idx="7">
                  <c:v>19000</c:v>
                </c:pt>
              </c:numCache>
            </c:numRef>
          </c:val>
          <c:smooth val="0"/>
          <c:extLst>
            <c:ext xmlns:c16="http://schemas.microsoft.com/office/drawing/2014/chart" uri="{C3380CC4-5D6E-409C-BE32-E72D297353CC}">
              <c16:uniqueId val="{00000002-C8A6-44EC-8690-FA34CD26496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639822399"/>
        <c:axId val="1639823359"/>
      </c:lineChart>
      <c:catAx>
        <c:axId val="1639822399"/>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Year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FR"/>
          </a:p>
        </c:txPr>
        <c:crossAx val="1639823359"/>
        <c:crosses val="autoZero"/>
        <c:auto val="1"/>
        <c:lblAlgn val="ctr"/>
        <c:lblOffset val="100"/>
        <c:noMultiLvlLbl val="0"/>
      </c:catAx>
      <c:valAx>
        <c:axId val="1639823359"/>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16398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ROE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ROE</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Statements'!$B$7:$I$7</c:f>
              <c:numCache>
                <c:formatCode>0.0%</c:formatCode>
                <c:ptCount val="8"/>
                <c:pt idx="0">
                  <c:v>0.27000127599846879</c:v>
                </c:pt>
                <c:pt idx="1">
                  <c:v>0.11437114558026537</c:v>
                </c:pt>
                <c:pt idx="2">
                  <c:v>-0.57640516639293971</c:v>
                </c:pt>
                <c:pt idx="3">
                  <c:v>-1.5228426395939087E-2</c:v>
                </c:pt>
                <c:pt idx="4">
                  <c:v>-1.1331491987658007</c:v>
                </c:pt>
                <c:pt idx="5">
                  <c:v>0.1301976823449216</c:v>
                </c:pt>
                <c:pt idx="6">
                  <c:v>-9.5496478073165179</c:v>
                </c:pt>
                <c:pt idx="7">
                  <c:v>0.23199445983379502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EBITDA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ROS</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Statements'!$B$8:$I$8</c:f>
              <c:numCache>
                <c:formatCode>0.0%</c:formatCode>
                <c:ptCount val="8"/>
                <c:pt idx="0">
                  <c:v>9.9651502307619849E-2</c:v>
                </c:pt>
                <c:pt idx="1">
                  <c:v>2.7186708720181245E-2</c:v>
                </c:pt>
                <c:pt idx="2">
                  <c:v>-0.72718214888264243</c:v>
                </c:pt>
                <c:pt idx="3">
                  <c:v>-3.5002566854902693E-3</c:v>
                </c:pt>
                <c:pt idx="4">
                  <c:v>-1.1287488206651495</c:v>
                </c:pt>
                <c:pt idx="5">
                  <c:v>3.2259426592914746E-2</c:v>
                </c:pt>
                <c:pt idx="6">
                  <c:v>-10.21630311475179</c:v>
                </c:pt>
                <c:pt idx="7">
                  <c:v>5.4008302768933134E-2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 margin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EQUITY MULTIPLIER</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Statements'!$B$10:$I$10</c:f>
              <c:numCache>
                <c:formatCode>0.00</c:formatCode>
                <c:ptCount val="8"/>
                <c:pt idx="0">
                  <c:v>2.8246778103866275</c:v>
                </c:pt>
                <c:pt idx="1">
                  <c:v>3.7927490188749768</c:v>
                </c:pt>
                <c:pt idx="3">
                  <c:v>3.6588832487309646</c:v>
                </c:pt>
                <c:pt idx="4" formatCode="0.0%">
                  <c:v>-3.5295182854920393E-2</c:v>
                </c:pt>
                <c:pt idx="5">
                  <c:v>3.5199386503067487</c:v>
                </c:pt>
                <c:pt idx="6" formatCode="0.0%">
                  <c:v>-3.7974591966662752E-2</c:v>
                </c:pt>
                <c:pt idx="7">
                  <c:v>3.5079639889196677</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EBITDA MARGIN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ASSETS TURNOVER</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Statements'!$B$9:$I$9</c:f>
              <c:numCache>
                <c:formatCode>0.00</c:formatCode>
                <c:ptCount val="8"/>
                <c:pt idx="0">
                  <c:v>0.95920856484618511</c:v>
                </c:pt>
                <c:pt idx="1">
                  <c:v>1.109189455530919</c:v>
                </c:pt>
                <c:pt idx="2" formatCode="0.0%">
                  <c:v>0.15635899863840796</c:v>
                </c:pt>
                <c:pt idx="3">
                  <c:v>1.1890677025527192</c:v>
                </c:pt>
                <c:pt idx="4" formatCode="0.0%">
                  <c:v>7.2014971494266611E-2</c:v>
                </c:pt>
                <c:pt idx="5">
                  <c:v>1.1465988864681675</c:v>
                </c:pt>
                <c:pt idx="6" formatCode="0.0%">
                  <c:v>-3.5716062250600644E-2</c:v>
                </c:pt>
                <c:pt idx="7">
                  <c:v>1.2245089329779884</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DSO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DSO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Statements'!$B$19:$I$19</c:f>
              <c:numCache>
                <c:formatCode>0.0</c:formatCode>
                <c:ptCount val="8"/>
                <c:pt idx="0">
                  <c:v>51.826080813789204</c:v>
                </c:pt>
                <c:pt idx="1">
                  <c:v>30.19101772466794</c:v>
                </c:pt>
                <c:pt idx="2" formatCode="0.0%">
                  <c:v>-0.41745512586328715</c:v>
                </c:pt>
                <c:pt idx="3">
                  <c:v>49.451393102160829</c:v>
                </c:pt>
                <c:pt idx="4" formatCode="0.0%">
                  <c:v>0.6379505173737805</c:v>
                </c:pt>
                <c:pt idx="5">
                  <c:v>48.470421821559768</c:v>
                </c:pt>
                <c:pt idx="6" formatCode="0.0%">
                  <c:v>-1.9837080799209983E-2</c:v>
                </c:pt>
                <c:pt idx="7">
                  <c:v>38.749345048567164</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372AC79C-5B86-9A41-890A-08CE92955B3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2A3-45A0-9F1D-E3DC4F840563}"/>
                </c:ext>
              </c:extLst>
            </c:dLbl>
            <c:dLbl>
              <c:idx val="1"/>
              <c:tx>
                <c:rich>
                  <a:bodyPr/>
                  <a:lstStyle/>
                  <a:p>
                    <a:fld id="{F097C83E-9AF7-4E81-BCD0-BE038FEDBF7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2A3-45A0-9F1D-E3DC4F840563}"/>
                </c:ext>
              </c:extLst>
            </c:dLbl>
            <c:dLbl>
              <c:idx val="2"/>
              <c:tx>
                <c:rich>
                  <a:bodyPr/>
                  <a:lstStyle/>
                  <a:p>
                    <a:fld id="{47114A44-FA19-401F-BA94-70C2B9DA240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2A3-45A0-9F1D-E3DC4F840563}"/>
                </c:ext>
              </c:extLst>
            </c:dLbl>
            <c:dLbl>
              <c:idx val="3"/>
              <c:tx>
                <c:rich>
                  <a:bodyPr/>
                  <a:lstStyle/>
                  <a:p>
                    <a:fld id="{F99B1ABD-39DA-41FF-B644-4565DCCBDEB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2A3-45A0-9F1D-E3DC4F840563}"/>
                </c:ext>
              </c:extLst>
            </c:dLbl>
            <c:dLbl>
              <c:idx val="4"/>
              <c:tx>
                <c:rich>
                  <a:bodyPr/>
                  <a:lstStyle/>
                  <a:p>
                    <a:fld id="{1945E375-ED2B-4CF8-A51F-1CB121A4233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2A3-45A0-9F1D-E3DC4F840563}"/>
                </c:ext>
              </c:extLst>
            </c:dLbl>
            <c:dLbl>
              <c:idx val="5"/>
              <c:tx>
                <c:rich>
                  <a:bodyPr/>
                  <a:lstStyle/>
                  <a:p>
                    <a:fld id="{DEBDCE87-DC0A-42A7-ACC8-F5B6BD81C88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C54-9B43-B066-9A9735111D46}"/>
                </c:ext>
              </c:extLst>
            </c:dLbl>
            <c:dLbl>
              <c:idx val="6"/>
              <c:tx>
                <c:rich>
                  <a:bodyPr/>
                  <a:lstStyle/>
                  <a:p>
                    <a:fld id="{175F5D94-70C1-4676-A906-FA5063BC3B42}"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C54-9B43-B066-9A9735111D46}"/>
                </c:ext>
              </c:extLst>
            </c:dLbl>
            <c:dLbl>
              <c:idx val="7"/>
              <c:tx>
                <c:rich>
                  <a:bodyPr/>
                  <a:lstStyle/>
                  <a:p>
                    <a:fld id="{F5BA015D-A130-4E9D-91CC-A3561E02FAA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C54-9B43-B066-9A9735111D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Statements'!$B$21:$I$21</c:f>
              <c:numCache>
                <c:formatCode>0.0</c:formatCode>
                <c:ptCount val="8"/>
                <c:pt idx="0">
                  <c:v>79.97994077753367</c:v>
                </c:pt>
                <c:pt idx="1">
                  <c:v>89.442993174349041</c:v>
                </c:pt>
                <c:pt idx="2" formatCode="0.0%">
                  <c:v>0.11831782200410856</c:v>
                </c:pt>
                <c:pt idx="3">
                  <c:v>73.882959800782643</c:v>
                </c:pt>
                <c:pt idx="4" formatCode="0.0%">
                  <c:v>-0.17396592870316407</c:v>
                </c:pt>
                <c:pt idx="5">
                  <c:v>96.932578486875968</c:v>
                </c:pt>
                <c:pt idx="6" formatCode="0.0%">
                  <c:v>0.31197476046227868</c:v>
                </c:pt>
                <c:pt idx="7">
                  <c:v>88.460897809611055</c:v>
                </c:pt>
              </c:numCache>
            </c:numRef>
          </c:val>
          <c:extLst>
            <c:ext xmlns:c15="http://schemas.microsoft.com/office/drawing/2012/chart" uri="{02D57815-91ED-43cb-92C2-25804820EDAC}">
              <c15:datalabelsRange>
                <c15:f>'Financial Statements'!$B$20:$I$20</c15:f>
                <c15:dlblRangeCache>
                  <c:ptCount val="8"/>
                  <c:pt idx="0">
                    <c:v>139.8</c:v>
                  </c:pt>
                  <c:pt idx="1">
                    <c:v>183.7</c:v>
                  </c:pt>
                  <c:pt idx="2">
                    <c:v>31.4%</c:v>
                  </c:pt>
                  <c:pt idx="3">
                    <c:v>146.9</c:v>
                  </c:pt>
                  <c:pt idx="4">
                    <c:v>-20.0%</c:v>
                  </c:pt>
                  <c:pt idx="5">
                    <c:v>156.2</c:v>
                  </c:pt>
                  <c:pt idx="6">
                    <c:v>6.3%</c:v>
                  </c:pt>
                  <c:pt idx="7">
                    <c:v>177.3</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CCC</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CCC</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Statements'!$B$22:$I$22</c:f>
              <c:numCache>
                <c:formatCode>0.0</c:formatCode>
                <c:ptCount val="8"/>
                <c:pt idx="0">
                  <c:v>111.61927978217204</c:v>
                </c:pt>
                <c:pt idx="1">
                  <c:v>124.46294828841614</c:v>
                </c:pt>
                <c:pt idx="2" formatCode="0.0%">
                  <c:v>0.11506675666881971</c:v>
                </c:pt>
                <c:pt idx="3">
                  <c:v>122.45788545363716</c:v>
                </c:pt>
                <c:pt idx="4" formatCode="0.0%">
                  <c:v>-1.6109716685584807E-2</c:v>
                </c:pt>
                <c:pt idx="5">
                  <c:v>107.73830653591901</c:v>
                </c:pt>
                <c:pt idx="6" formatCode="0.0%">
                  <c:v>-0.12020115212009785</c:v>
                </c:pt>
                <c:pt idx="7">
                  <c:v>127.57503006564053</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DPO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DPO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8F14C268-8719-F34D-82DE-06E31AD8963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9B-4AEB-B9BB-CE43D6CA4BC8}"/>
                </c:ext>
              </c:extLst>
            </c:dLbl>
            <c:dLbl>
              <c:idx val="1"/>
              <c:tx>
                <c:rich>
                  <a:bodyPr/>
                  <a:lstStyle/>
                  <a:p>
                    <a:fld id="{FE60F14F-3785-4CD3-BE12-BB04594BA5C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49B-4AEB-B9BB-CE43D6CA4BC8}"/>
                </c:ext>
              </c:extLst>
            </c:dLbl>
            <c:dLbl>
              <c:idx val="2"/>
              <c:tx>
                <c:rich>
                  <a:bodyPr/>
                  <a:lstStyle/>
                  <a:p>
                    <a:fld id="{E57B3A93-C0D5-4497-AB4A-A5E1F6B9BB3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49B-4AEB-B9BB-CE43D6CA4BC8}"/>
                </c:ext>
              </c:extLst>
            </c:dLbl>
            <c:dLbl>
              <c:idx val="3"/>
              <c:tx>
                <c:rich>
                  <a:bodyPr/>
                  <a:lstStyle/>
                  <a:p>
                    <a:fld id="{0D1F4C33-49F3-4878-B31A-2CF63595359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49B-4AEB-B9BB-CE43D6CA4BC8}"/>
                </c:ext>
              </c:extLst>
            </c:dLbl>
            <c:dLbl>
              <c:idx val="4"/>
              <c:tx>
                <c:rich>
                  <a:bodyPr/>
                  <a:lstStyle/>
                  <a:p>
                    <a:fld id="{7A823EB6-19E9-4346-8824-25A722DBC1F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49B-4AEB-B9BB-CE43D6CA4BC8}"/>
                </c:ext>
              </c:extLst>
            </c:dLbl>
            <c:dLbl>
              <c:idx val="5"/>
              <c:tx>
                <c:rich>
                  <a:bodyPr/>
                  <a:lstStyle/>
                  <a:p>
                    <a:fld id="{BA1054B0-C8A8-42BB-9216-B7E10286588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49F-7D4E-9829-A479B61E6186}"/>
                </c:ext>
              </c:extLst>
            </c:dLbl>
            <c:dLbl>
              <c:idx val="6"/>
              <c:tx>
                <c:rich>
                  <a:bodyPr/>
                  <a:lstStyle/>
                  <a:p>
                    <a:fld id="{08AD8917-CBAA-44E6-9BA5-02CFF8A4632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49F-7D4E-9829-A479B61E6186}"/>
                </c:ext>
              </c:extLst>
            </c:dLbl>
            <c:dLbl>
              <c:idx val="7"/>
              <c:tx>
                <c:rich>
                  <a:bodyPr/>
                  <a:lstStyle/>
                  <a:p>
                    <a:fld id="{4A144197-AEC3-415A-8516-394C027470A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9F-7D4E-9829-A479B61E6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Statements'!$B$21:$I$21</c:f>
              <c:numCache>
                <c:formatCode>0.0</c:formatCode>
                <c:ptCount val="8"/>
                <c:pt idx="0">
                  <c:v>79.97994077753367</c:v>
                </c:pt>
                <c:pt idx="1">
                  <c:v>89.442993174349041</c:v>
                </c:pt>
                <c:pt idx="2" formatCode="0.0%">
                  <c:v>0.11831782200410856</c:v>
                </c:pt>
                <c:pt idx="3">
                  <c:v>73.882959800782643</c:v>
                </c:pt>
                <c:pt idx="4" formatCode="0.0%">
                  <c:v>-0.17396592870316407</c:v>
                </c:pt>
                <c:pt idx="5">
                  <c:v>96.932578486875968</c:v>
                </c:pt>
                <c:pt idx="6" formatCode="0.0%">
                  <c:v>0.31197476046227868</c:v>
                </c:pt>
                <c:pt idx="7">
                  <c:v>88.460897809611055</c:v>
                </c:pt>
              </c:numCache>
            </c:numRef>
          </c:val>
          <c:extLst>
            <c:ext xmlns:c15="http://schemas.microsoft.com/office/drawing/2012/chart" uri="{02D57815-91ED-43cb-92C2-25804820EDAC}">
              <c15:datalabelsRange>
                <c15:f>'Financial Statements'!$B$21:$I$21</c15:f>
                <c15:dlblRangeCache>
                  <c:ptCount val="8"/>
                  <c:pt idx="0">
                    <c:v>80.0</c:v>
                  </c:pt>
                  <c:pt idx="1">
                    <c:v>89.4</c:v>
                  </c:pt>
                  <c:pt idx="2">
                    <c:v>11.8%</c:v>
                  </c:pt>
                  <c:pt idx="3">
                    <c:v>73.9</c:v>
                  </c:pt>
                  <c:pt idx="4">
                    <c:v>-17.4%</c:v>
                  </c:pt>
                  <c:pt idx="5">
                    <c:v>96.9</c:v>
                  </c:pt>
                  <c:pt idx="6">
                    <c:v>31.2%</c:v>
                  </c:pt>
                  <c:pt idx="7">
                    <c:v>88.5</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PPE TURNOVER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PPE TURNOVER</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Statements'!$B$24:$I$24</c:f>
              <c:numCache>
                <c:formatCode>0.00</c:formatCode>
                <c:ptCount val="8"/>
                <c:pt idx="0">
                  <c:v>4.4008290155440415</c:v>
                </c:pt>
                <c:pt idx="1">
                  <c:v>4.5541169330366174</c:v>
                </c:pt>
                <c:pt idx="2" formatCode="0.0%">
                  <c:v>3.4831600353286252E-2</c:v>
                </c:pt>
                <c:pt idx="3">
                  <c:v>4.8642451759364356</c:v>
                </c:pt>
                <c:pt idx="4" formatCode="0.0%">
                  <c:v>6.8098436526755846E-2</c:v>
                </c:pt>
                <c:pt idx="5">
                  <c:v>4.8214576547231269</c:v>
                </c:pt>
                <c:pt idx="6" formatCode="0.0%">
                  <c:v>-8.7963331751820251E-3</c:v>
                </c:pt>
                <c:pt idx="7">
                  <c:v>5.4196155526430756</c:v>
                </c:pt>
              </c:numCache>
            </c:numRef>
          </c:val>
          <c:extLst>
            <c:ext xmlns:c16="http://schemas.microsoft.com/office/drawing/2014/chart" uri="{C3380CC4-5D6E-409C-BE32-E72D297353CC}">
              <c16:uniqueId val="{00000000-8BF8-4745-ADBA-260F276075D4}"/>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Gross Profit Margin</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D9B7C36E-6DC0-2E47-AAED-4CE692220D0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E34-4024-86D7-8C7A1DF56105}"/>
                </c:ext>
              </c:extLst>
            </c:dLbl>
            <c:dLbl>
              <c:idx val="1"/>
              <c:tx>
                <c:rich>
                  <a:bodyPr/>
                  <a:lstStyle/>
                  <a:p>
                    <a:fld id="{16464AAE-B07D-4F33-BE68-21408219FE3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E34-4024-86D7-8C7A1DF56105}"/>
                </c:ext>
              </c:extLst>
            </c:dLbl>
            <c:dLbl>
              <c:idx val="2"/>
              <c:tx>
                <c:rich>
                  <a:bodyPr/>
                  <a:lstStyle/>
                  <a:p>
                    <a:fld id="{FCC09F02-E179-4576-B173-EE1C1BD46E77}"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E34-4024-86D7-8C7A1DF56105}"/>
                </c:ext>
              </c:extLst>
            </c:dLbl>
            <c:dLbl>
              <c:idx val="3"/>
              <c:tx>
                <c:rich>
                  <a:bodyPr/>
                  <a:lstStyle/>
                  <a:p>
                    <a:fld id="{2C54B825-B020-4653-89F3-9751B1541A42}"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E34-4024-86D7-8C7A1DF56105}"/>
                </c:ext>
              </c:extLst>
            </c:dLbl>
            <c:dLbl>
              <c:idx val="4"/>
              <c:tx>
                <c:rich>
                  <a:bodyPr/>
                  <a:lstStyle/>
                  <a:p>
                    <a:fld id="{13F9CC14-E89B-4E80-87AB-D5E572CC9332}"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E34-4024-86D7-8C7A1DF56105}"/>
                </c:ext>
              </c:extLst>
            </c:dLbl>
            <c:dLbl>
              <c:idx val="5"/>
              <c:tx>
                <c:rich>
                  <a:bodyPr/>
                  <a:lstStyle/>
                  <a:p>
                    <a:fld id="{F7CE8BE6-19DC-4EFE-932A-E8672084DDD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CB5-A949-9DC6-CA54E9A8DF49}"/>
                </c:ext>
              </c:extLst>
            </c:dLbl>
            <c:dLbl>
              <c:idx val="6"/>
              <c:tx>
                <c:rich>
                  <a:bodyPr/>
                  <a:lstStyle/>
                  <a:p>
                    <a:fld id="{99B97B5C-EABC-4970-A2FE-1C4D75F8323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CB5-A949-9DC6-CA54E9A8DF49}"/>
                </c:ext>
              </c:extLst>
            </c:dLbl>
            <c:dLbl>
              <c:idx val="7"/>
              <c:tx>
                <c:rich>
                  <a:bodyPr/>
                  <a:lstStyle/>
                  <a:p>
                    <a:fld id="{89F663A4-2668-45CD-B2E6-0712B4166B1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CB5-A949-9DC6-CA54E9A8DF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Statements'!$B$14:$I$14</c:f>
              <c:numCache>
                <c:formatCode>0.0%</c:formatCode>
                <c:ptCount val="8"/>
                <c:pt idx="0">
                  <c:v>0.50696995384760291</c:v>
                </c:pt>
                <c:pt idx="1">
                  <c:v>0.47283550264315222</c:v>
                </c:pt>
                <c:pt idx="2">
                  <c:v>-6.7330323908528222E-2</c:v>
                </c:pt>
                <c:pt idx="3">
                  <c:v>0.47524151771129886</c:v>
                </c:pt>
                <c:pt idx="4">
                  <c:v>5.0884822622181414E-3</c:v>
                </c:pt>
                <c:pt idx="5">
                  <c:v>0.5077481737955496</c:v>
                </c:pt>
                <c:pt idx="6">
                  <c:v>6.8400286744303207E-2</c:v>
                </c:pt>
                <c:pt idx="7">
                  <c:v>0.51606142436822378</c:v>
                </c:pt>
              </c:numCache>
            </c:numRef>
          </c:val>
          <c:extLst>
            <c:ext xmlns:c15="http://schemas.microsoft.com/office/drawing/2012/chart" uri="{02D57815-91ED-43cb-92C2-25804820EDAC}">
              <c15:datalabelsRange>
                <c15:f>'Financial Statements'!$B$14:$I$14</c15:f>
                <c15:dlblRangeCache>
                  <c:ptCount val="8"/>
                  <c:pt idx="0">
                    <c:v>50.7%</c:v>
                  </c:pt>
                  <c:pt idx="1">
                    <c:v>47.3%</c:v>
                  </c:pt>
                  <c:pt idx="2">
                    <c:v>-6.7%</c:v>
                  </c:pt>
                  <c:pt idx="3">
                    <c:v>47.5%</c:v>
                  </c:pt>
                  <c:pt idx="4">
                    <c:v>0.5%</c:v>
                  </c:pt>
                  <c:pt idx="5">
                    <c:v>50.8%</c:v>
                  </c:pt>
                  <c:pt idx="6">
                    <c:v>6.8%</c:v>
                  </c:pt>
                  <c:pt idx="7">
                    <c:v>51.6%</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EBITDA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EBITDA</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Statements'!$B$15:$I$15</c:f>
              <c:numCache>
                <c:formatCode>#,##0</c:formatCode>
                <c:ptCount val="8"/>
                <c:pt idx="0">
                  <c:v>3066000</c:v>
                </c:pt>
                <c:pt idx="1">
                  <c:v>1874000</c:v>
                </c:pt>
                <c:pt idx="2" formatCode="0.0%">
                  <c:v>-0.38878016960208739</c:v>
                </c:pt>
                <c:pt idx="3">
                  <c:v>1358000</c:v>
                </c:pt>
                <c:pt idx="4" formatCode="0.0%">
                  <c:v>-0.27534685165421557</c:v>
                </c:pt>
                <c:pt idx="5">
                  <c:v>2465000</c:v>
                </c:pt>
                <c:pt idx="6" formatCode="0.0%">
                  <c:v>0.81516936671575846</c:v>
                </c:pt>
                <c:pt idx="7">
                  <c:v>3124000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 margin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EBIT MARGIN</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Statements'!$B$17:$I$17</c:f>
              <c:numCache>
                <c:formatCode>0.0%</c:formatCode>
                <c:ptCount val="8"/>
                <c:pt idx="0">
                  <c:v>9.3670528397852504E-2</c:v>
                </c:pt>
                <c:pt idx="1">
                  <c:v>2.9718804140198125E-2</c:v>
                </c:pt>
                <c:pt idx="2">
                  <c:v>-0.6827304740507959</c:v>
                </c:pt>
                <c:pt idx="3">
                  <c:v>1.2507583889485229E-2</c:v>
                </c:pt>
                <c:pt idx="4">
                  <c:v>-0.57913569366785955</c:v>
                </c:pt>
                <c:pt idx="5">
                  <c:v>5.645399653760081E-2</c:v>
                </c:pt>
                <c:pt idx="6">
                  <c:v>3.5135812828775093</c:v>
                </c:pt>
                <c:pt idx="7">
                  <c:v>8.3027689331344967E-2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EBITDA MARGIN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EBITDA MARGIN</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Statements'!$B$16:$I$16</c:f>
              <c:numCache>
                <c:formatCode>0.0%</c:formatCode>
                <c:ptCount val="8"/>
                <c:pt idx="0">
                  <c:v>0.14439107092398984</c:v>
                </c:pt>
                <c:pt idx="1">
                  <c:v>8.3248189773888315E-2</c:v>
                </c:pt>
                <c:pt idx="2">
                  <c:v>-0.42345333931547802</c:v>
                </c:pt>
                <c:pt idx="3">
                  <c:v>6.337798105194381E-2</c:v>
                </c:pt>
                <c:pt idx="4">
                  <c:v>-0.23868637595501219</c:v>
                </c:pt>
                <c:pt idx="5">
                  <c:v>0.104083097580543</c:v>
                </c:pt>
                <c:pt idx="6">
                  <c:v>0.6422595963610418</c:v>
                </c:pt>
                <c:pt idx="7">
                  <c:v>0.12591189391802024</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TOTAL DEBT RATIO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TOTAL DEBT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Statements'!$B$31:$I$31</c:f>
              <c:numCache>
                <c:formatCode>0.00</c:formatCode>
                <c:ptCount val="8"/>
                <c:pt idx="0">
                  <c:v>0.26819352215747388</c:v>
                </c:pt>
                <c:pt idx="1">
                  <c:v>0.33791574279379155</c:v>
                </c:pt>
                <c:pt idx="2" formatCode="0.0%">
                  <c:v>0.25996981610681558</c:v>
                </c:pt>
                <c:pt idx="3">
                  <c:v>0.34106548279689236</c:v>
                </c:pt>
                <c:pt idx="4" formatCode="0.0%">
                  <c:v>9.3210809803048189E-3</c:v>
                </c:pt>
                <c:pt idx="5">
                  <c:v>0.30844831759864438</c:v>
                </c:pt>
                <c:pt idx="6" formatCode="0.0%">
                  <c:v>-9.5633146253242485E-2</c:v>
                </c:pt>
                <c:pt idx="7">
                  <c:v>0.31048267693218834</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D/E RATIO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DPO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C110E08B-B617-C84D-A5E5-A7EB7FE66C4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231-487F-8FBA-014E8D02D465}"/>
                </c:ext>
              </c:extLst>
            </c:dLbl>
            <c:dLbl>
              <c:idx val="1"/>
              <c:tx>
                <c:rich>
                  <a:bodyPr/>
                  <a:lstStyle/>
                  <a:p>
                    <a:fld id="{5B5066AD-6616-4925-8BB3-9EF492B3825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231-487F-8FBA-014E8D02D465}"/>
                </c:ext>
              </c:extLst>
            </c:dLbl>
            <c:dLbl>
              <c:idx val="2"/>
              <c:tx>
                <c:rich>
                  <a:bodyPr/>
                  <a:lstStyle/>
                  <a:p>
                    <a:fld id="{522D4751-9120-4CBC-BE85-7E01D14A6E7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231-487F-8FBA-014E8D02D465}"/>
                </c:ext>
              </c:extLst>
            </c:dLbl>
            <c:dLbl>
              <c:idx val="3"/>
              <c:tx>
                <c:rich>
                  <a:bodyPr/>
                  <a:lstStyle/>
                  <a:p>
                    <a:fld id="{F24CF4E2-8DB2-4EA1-9EED-12ED5E229F5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231-487F-8FBA-014E8D02D465}"/>
                </c:ext>
              </c:extLst>
            </c:dLbl>
            <c:dLbl>
              <c:idx val="4"/>
              <c:tx>
                <c:rich>
                  <a:bodyPr/>
                  <a:lstStyle/>
                  <a:p>
                    <a:fld id="{EEF942EB-2F5F-4FBC-84EF-5DED4A51795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231-487F-8FBA-014E8D02D465}"/>
                </c:ext>
              </c:extLst>
            </c:dLbl>
            <c:dLbl>
              <c:idx val="5"/>
              <c:tx>
                <c:rich>
                  <a:bodyPr/>
                  <a:lstStyle/>
                  <a:p>
                    <a:fld id="{B6688B5E-A345-47B7-AA2A-95D1DEECA6C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F51-4F4F-BFAA-B5EEBA2C8DB3}"/>
                </c:ext>
              </c:extLst>
            </c:dLbl>
            <c:dLbl>
              <c:idx val="6"/>
              <c:tx>
                <c:rich>
                  <a:bodyPr/>
                  <a:lstStyle/>
                  <a:p>
                    <a:fld id="{1C5AA81E-6552-49D1-A74B-F3B80A3882F7}"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F51-4F4F-BFAA-B5EEBA2C8DB3}"/>
                </c:ext>
              </c:extLst>
            </c:dLbl>
            <c:dLbl>
              <c:idx val="7"/>
              <c:tx>
                <c:rich>
                  <a:bodyPr/>
                  <a:lstStyle/>
                  <a:p>
                    <a:fld id="{7EFE4988-5FB2-49EB-A8B6-EDFBBFF7DE4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F51-4F4F-BFAA-B5EEBA2C8D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Statements'!$B$21:$I$21</c:f>
              <c:numCache>
                <c:formatCode>0.0</c:formatCode>
                <c:ptCount val="8"/>
                <c:pt idx="0">
                  <c:v>79.97994077753367</c:v>
                </c:pt>
                <c:pt idx="1">
                  <c:v>89.442993174349041</c:v>
                </c:pt>
                <c:pt idx="2" formatCode="0.0%">
                  <c:v>0.11831782200410856</c:v>
                </c:pt>
                <c:pt idx="3">
                  <c:v>73.882959800782643</c:v>
                </c:pt>
                <c:pt idx="4" formatCode="0.0%">
                  <c:v>-0.17396592870316407</c:v>
                </c:pt>
                <c:pt idx="5">
                  <c:v>96.932578486875968</c:v>
                </c:pt>
                <c:pt idx="6" formatCode="0.0%">
                  <c:v>0.31197476046227868</c:v>
                </c:pt>
                <c:pt idx="7">
                  <c:v>88.460897809611055</c:v>
                </c:pt>
              </c:numCache>
            </c:numRef>
          </c:val>
          <c:extLst>
            <c:ext xmlns:c15="http://schemas.microsoft.com/office/drawing/2012/chart" uri="{02D57815-91ED-43cb-92C2-25804820EDAC}">
              <c15:datalabelsRange>
                <c15:f>'Financial Statements'!$B$30:$I$30</c15:f>
                <c15:dlblRangeCache>
                  <c:ptCount val="8"/>
                  <c:pt idx="0">
                    <c:v>0.76</c:v>
                  </c:pt>
                  <c:pt idx="1">
                    <c:v>1.28</c:v>
                  </c:pt>
                  <c:pt idx="2">
                    <c:v>69.2%</c:v>
                  </c:pt>
                  <c:pt idx="3">
                    <c:v>1.25</c:v>
                  </c:pt>
                  <c:pt idx="4">
                    <c:v>-2.6%</c:v>
                  </c:pt>
                  <c:pt idx="5">
                    <c:v>1.09</c:v>
                  </c:pt>
                  <c:pt idx="6">
                    <c:v>-13.0%</c:v>
                  </c:pt>
                  <c:pt idx="7">
                    <c:v>1.09</c:v>
                  </c:pt>
                </c15:dlblRangeCache>
              </c15:datalabelsRange>
            </c:ext>
            <c:ext xmlns:c16="http://schemas.microsoft.com/office/drawing/2014/chart" uri="{C3380CC4-5D6E-409C-BE32-E72D297353CC}">
              <c16:uniqueId val="{00000005-D231-487F-8FBA-014E8D02D46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INTEREST COVERAGE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INTEREST COVERAGE</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Statements'!$B$32:$I$32</c:f>
              <c:numCache>
                <c:formatCode>0.00</c:formatCode>
                <c:ptCount val="8"/>
                <c:pt idx="0">
                  <c:v>11.563953488372093</c:v>
                </c:pt>
                <c:pt idx="1">
                  <c:v>2.9866071428571428</c:v>
                </c:pt>
                <c:pt idx="2" formatCode="0.0%">
                  <c:v>-0.74173130790777853</c:v>
                </c:pt>
                <c:pt idx="3">
                  <c:v>1.2761904761904761</c:v>
                </c:pt>
                <c:pt idx="4" formatCode="0.0%">
                  <c:v>-0.57269556552067757</c:v>
                </c:pt>
                <c:pt idx="5">
                  <c:v>5.96875</c:v>
                </c:pt>
                <c:pt idx="6" formatCode="0.0%">
                  <c:v>3.6770055970149258</c:v>
                </c:pt>
                <c:pt idx="7">
                  <c:v>7.1280276816608996</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NET DEBT/EBITDA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NET DEBT EBITDA</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Statements'!$B$33:$I$33</c:f>
              <c:numCache>
                <c:formatCode>0.00</c:formatCode>
                <c:ptCount val="8"/>
                <c:pt idx="0">
                  <c:v>0.68786692759295498</c:v>
                </c:pt>
                <c:pt idx="1">
                  <c:v>3.2337246531483457</c:v>
                </c:pt>
                <c:pt idx="2" formatCode="0.0%">
                  <c:v>3.7010904630406962</c:v>
                </c:pt>
                <c:pt idx="3">
                  <c:v>3.6273932253313697</c:v>
                </c:pt>
                <c:pt idx="4" formatCode="0.0%">
                  <c:v>0.12173843304801757</c:v>
                </c:pt>
                <c:pt idx="5">
                  <c:v>1.7204868154158215</c:v>
                </c:pt>
                <c:pt idx="6" formatCode="0.0%">
                  <c:v>-0.52569608296088388</c:v>
                </c:pt>
                <c:pt idx="7">
                  <c:v>1.4961587708066582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QUICK</a:t>
            </a:r>
            <a:r>
              <a:rPr lang="en-GB" baseline="0"/>
              <a:t> RATIO</a:t>
            </a:r>
            <a:endParaRPr lang="en-GB"/>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QUICK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21F70947-A663-CA4C-A87D-8698F3713A0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7AE-441B-A51B-D7C802115D88}"/>
                </c:ext>
              </c:extLst>
            </c:dLbl>
            <c:dLbl>
              <c:idx val="1"/>
              <c:tx>
                <c:rich>
                  <a:bodyPr/>
                  <a:lstStyle/>
                  <a:p>
                    <a:fld id="{17133C7A-D54C-4E8A-A6DE-A03B4480ACC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7AE-441B-A51B-D7C802115D88}"/>
                </c:ext>
              </c:extLst>
            </c:dLbl>
            <c:dLbl>
              <c:idx val="2"/>
              <c:tx>
                <c:rich>
                  <a:bodyPr/>
                  <a:lstStyle/>
                  <a:p>
                    <a:fld id="{FF071E6E-60D4-4B5C-97EC-B0ED17DDEF2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7AE-441B-A51B-D7C802115D88}"/>
                </c:ext>
              </c:extLst>
            </c:dLbl>
            <c:dLbl>
              <c:idx val="3"/>
              <c:tx>
                <c:rich>
                  <a:bodyPr/>
                  <a:lstStyle/>
                  <a:p>
                    <a:fld id="{A8AE53AE-D9A9-4DB1-8CED-58833B594B2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7AE-441B-A51B-D7C802115D88}"/>
                </c:ext>
              </c:extLst>
            </c:dLbl>
            <c:dLbl>
              <c:idx val="4"/>
              <c:tx>
                <c:rich>
                  <a:bodyPr/>
                  <a:lstStyle/>
                  <a:p>
                    <a:fld id="{5B17E650-7244-4ADA-AE85-8D878AB5B6F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7AE-441B-A51B-D7C802115D88}"/>
                </c:ext>
              </c:extLst>
            </c:dLbl>
            <c:dLbl>
              <c:idx val="5"/>
              <c:tx>
                <c:rich>
                  <a:bodyPr/>
                  <a:lstStyle/>
                  <a:p>
                    <a:fld id="{79BCC40A-6D5E-41C0-8AFE-14A1341DA3E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915-9249-A041-A4ECD3DA745A}"/>
                </c:ext>
              </c:extLst>
            </c:dLbl>
            <c:dLbl>
              <c:idx val="6"/>
              <c:tx>
                <c:rich>
                  <a:bodyPr/>
                  <a:lstStyle/>
                  <a:p>
                    <a:fld id="{10C6D3A9-045A-4833-8173-FEFBE0E25C5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915-9249-A041-A4ECD3DA745A}"/>
                </c:ext>
              </c:extLst>
            </c:dLbl>
            <c:dLbl>
              <c:idx val="7"/>
              <c:tx>
                <c:rich>
                  <a:bodyPr/>
                  <a:lstStyle/>
                  <a:p>
                    <a:fld id="{B05E986D-E774-4DFD-8595-5A13B0685ED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915-9249-A041-A4ECD3DA74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Statements'!$B$27:$I$27</c:f>
              <c:numCache>
                <c:formatCode>0.0</c:formatCode>
                <c:ptCount val="8"/>
                <c:pt idx="0">
                  <c:v>1.1081985499163414</c:v>
                </c:pt>
                <c:pt idx="1">
                  <c:v>0.62212379820676245</c:v>
                </c:pt>
                <c:pt idx="2" formatCode="0.0%">
                  <c:v>-0.43861702557386761</c:v>
                </c:pt>
                <c:pt idx="3">
                  <c:v>0.65696879273902775</c:v>
                </c:pt>
                <c:pt idx="4" formatCode="0.0%">
                  <c:v>5.6009743772387655E-2</c:v>
                </c:pt>
                <c:pt idx="5">
                  <c:v>0.72083811112269358</c:v>
                </c:pt>
                <c:pt idx="6" formatCode="0.0%">
                  <c:v>9.7218192233123446E-2</c:v>
                </c:pt>
                <c:pt idx="7">
                  <c:v>0.67568459254371493</c:v>
                </c:pt>
              </c:numCache>
            </c:numRef>
          </c:val>
          <c:extLst>
            <c:ext xmlns:c15="http://schemas.microsoft.com/office/drawing/2012/chart" uri="{02D57815-91ED-43cb-92C2-25804820EDAC}">
              <c15:datalabelsRange>
                <c15:f>'Financial Statements'!$B$27:$I$27</c15:f>
                <c15:dlblRangeCache>
                  <c:ptCount val="8"/>
                  <c:pt idx="0">
                    <c:v>1.1</c:v>
                  </c:pt>
                  <c:pt idx="1">
                    <c:v>0.6</c:v>
                  </c:pt>
                  <c:pt idx="2">
                    <c:v>-43.9%</c:v>
                  </c:pt>
                  <c:pt idx="3">
                    <c:v>0.7</c:v>
                  </c:pt>
                  <c:pt idx="4">
                    <c:v>5.6%</c:v>
                  </c:pt>
                  <c:pt idx="5">
                    <c:v>0.7</c:v>
                  </c:pt>
                  <c:pt idx="6">
                    <c:v>9.7%</c:v>
                  </c:pt>
                  <c:pt idx="7">
                    <c:v>0.7</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current</a:t>
            </a:r>
            <a:r>
              <a:rPr lang="en-GB" baseline="0"/>
              <a:t> ratio</a:t>
            </a:r>
            <a:endParaRPr lang="en-GB"/>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CURRENT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49A17DC2-FDC6-1D47-9179-684BC98B058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0B4-4CBD-8FEB-D16C79F0C53F}"/>
                </c:ext>
              </c:extLst>
            </c:dLbl>
            <c:dLbl>
              <c:idx val="1"/>
              <c:tx>
                <c:rich>
                  <a:bodyPr/>
                  <a:lstStyle/>
                  <a:p>
                    <a:fld id="{95BEB48D-FA02-43EC-89A7-44C4BB361B7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0B4-4CBD-8FEB-D16C79F0C53F}"/>
                </c:ext>
              </c:extLst>
            </c:dLbl>
            <c:dLbl>
              <c:idx val="2"/>
              <c:tx>
                <c:rich>
                  <a:bodyPr/>
                  <a:lstStyle/>
                  <a:p>
                    <a:fld id="{170EE13A-B401-48F1-A9B5-D69E97D39C9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0B4-4CBD-8FEB-D16C79F0C53F}"/>
                </c:ext>
              </c:extLst>
            </c:dLbl>
            <c:dLbl>
              <c:idx val="3"/>
              <c:tx>
                <c:rich>
                  <a:bodyPr/>
                  <a:lstStyle/>
                  <a:p>
                    <a:fld id="{60DEC3D3-E474-4B22-966D-12419A24F4E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0B4-4CBD-8FEB-D16C79F0C53F}"/>
                </c:ext>
              </c:extLst>
            </c:dLbl>
            <c:dLbl>
              <c:idx val="4"/>
              <c:tx>
                <c:rich>
                  <a:bodyPr/>
                  <a:lstStyle/>
                  <a:p>
                    <a:fld id="{1C9B38CE-5C88-4EF2-AF37-53CDF7A60A4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0B4-4CBD-8FEB-D16C79F0C53F}"/>
                </c:ext>
              </c:extLst>
            </c:dLbl>
            <c:dLbl>
              <c:idx val="5"/>
              <c:tx>
                <c:rich>
                  <a:bodyPr/>
                  <a:lstStyle/>
                  <a:p>
                    <a:fld id="{74773EFF-5644-42B5-962F-11A40742304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723-D545-8B5B-25731A506B3C}"/>
                </c:ext>
              </c:extLst>
            </c:dLbl>
            <c:dLbl>
              <c:idx val="6"/>
              <c:tx>
                <c:rich>
                  <a:bodyPr/>
                  <a:lstStyle/>
                  <a:p>
                    <a:fld id="{D65B0FCD-8BBB-44A3-B500-7FE41BC05A5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723-D545-8B5B-25731A506B3C}"/>
                </c:ext>
              </c:extLst>
            </c:dLbl>
            <c:dLbl>
              <c:idx val="7"/>
              <c:tx>
                <c:rich>
                  <a:bodyPr/>
                  <a:lstStyle/>
                  <a:p>
                    <a:fld id="{704223EA-8BE4-4946-BA69-3A5651E9C94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723-D545-8B5B-25731A506B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Statements'!$B$26:$I$26</c:f>
              <c:numCache>
                <c:formatCode>0.0</c:formatCode>
                <c:ptCount val="8"/>
                <c:pt idx="0">
                  <c:v>1.5553820412716117</c:v>
                </c:pt>
                <c:pt idx="1">
                  <c:v>1.2673652371178568</c:v>
                </c:pt>
                <c:pt idx="2" formatCode="0.0%">
                  <c:v>-0.18517431506299575</c:v>
                </c:pt>
                <c:pt idx="3">
                  <c:v>1.2195698122591072</c:v>
                </c:pt>
                <c:pt idx="4" formatCode="0.0%">
                  <c:v>-3.7712431632922261E-2</c:v>
                </c:pt>
                <c:pt idx="5">
                  <c:v>1.2409048264359428</c:v>
                </c:pt>
                <c:pt idx="6" formatCode="0.0%">
                  <c:v>1.7493885107991547E-2</c:v>
                </c:pt>
                <c:pt idx="7">
                  <c:v>1.3170570768723193</c:v>
                </c:pt>
              </c:numCache>
            </c:numRef>
          </c:val>
          <c:extLst>
            <c:ext xmlns:c15="http://schemas.microsoft.com/office/drawing/2012/chart" uri="{02D57815-91ED-43cb-92C2-25804820EDAC}">
              <c15:datalabelsRange>
                <c15:f>'Financial Statements'!$B$26:$I$26</c15:f>
                <c15:dlblRangeCache>
                  <c:ptCount val="8"/>
                  <c:pt idx="0">
                    <c:v>1.6</c:v>
                  </c:pt>
                  <c:pt idx="1">
                    <c:v>1.3</c:v>
                  </c:pt>
                  <c:pt idx="2">
                    <c:v>-18.5%</c:v>
                  </c:pt>
                  <c:pt idx="3">
                    <c:v>1.2</c:v>
                  </c:pt>
                  <c:pt idx="4">
                    <c:v>-3.8%</c:v>
                  </c:pt>
                  <c:pt idx="5">
                    <c:v>1.2</c:v>
                  </c:pt>
                  <c:pt idx="6">
                    <c:v>1.7%</c:v>
                  </c:pt>
                  <c:pt idx="7">
                    <c:v>1.3</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CASH RATIO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CASH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A2885CE9-D621-F54F-967F-A7F830FBB18A}" type="CELLRANGE">
                      <a:rPr lang="en-US" baseline="0"/>
                      <a:pPr/>
                      <a:t>[]</a:t>
                    </a:fld>
                    <a:r>
                      <a:rPr lang="en-US" baseline="0"/>
                      <a:t>; </a:t>
                    </a:r>
                    <a:fld id="{36334063-E9C6-4449-B34E-1FBD8B28D8EF}"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2AE-4CB2-A262-EC2CBFDE943A}"/>
                </c:ext>
              </c:extLst>
            </c:dLbl>
            <c:dLbl>
              <c:idx val="1"/>
              <c:tx>
                <c:rich>
                  <a:bodyPr/>
                  <a:lstStyle/>
                  <a:p>
                    <a:fld id="{472B6E28-F441-3B46-AA0A-E097E8546E07}" type="CELLRANGE">
                      <a:rPr lang="en-US"/>
                      <a:pPr/>
                      <a:t>[]</a:t>
                    </a:fld>
                    <a:r>
                      <a:rPr lang="en-US" baseline="0"/>
                      <a:t>; </a:t>
                    </a:r>
                    <a:fld id="{4F623A90-3F6F-AC49-ABC2-B1F556822B52}"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2AE-4CB2-A262-EC2CBFDE943A}"/>
                </c:ext>
              </c:extLst>
            </c:dLbl>
            <c:dLbl>
              <c:idx val="2"/>
              <c:tx>
                <c:rich>
                  <a:bodyPr/>
                  <a:lstStyle/>
                  <a:p>
                    <a:fld id="{18AB0ECE-89E0-254E-9CCB-BFDB1EB240A3}" type="CELLRANGE">
                      <a:rPr lang="en-US"/>
                      <a:pPr/>
                      <a:t>[]</a:t>
                    </a:fld>
                    <a:r>
                      <a:rPr lang="en-US" baseline="0"/>
                      <a:t>; </a:t>
                    </a:r>
                    <a:fld id="{FA90D3BF-8178-924C-9CD0-DA20EE233696}"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2AE-4CB2-A262-EC2CBFDE943A}"/>
                </c:ext>
              </c:extLst>
            </c:dLbl>
            <c:dLbl>
              <c:idx val="3"/>
              <c:tx>
                <c:rich>
                  <a:bodyPr/>
                  <a:lstStyle/>
                  <a:p>
                    <a:fld id="{A2E154F6-C1DF-7846-A76D-A5D2141A8E69}" type="CELLRANGE">
                      <a:rPr lang="en-US"/>
                      <a:pPr/>
                      <a:t>[]</a:t>
                    </a:fld>
                    <a:r>
                      <a:rPr lang="en-US" baseline="0"/>
                      <a:t>; </a:t>
                    </a:r>
                    <a:fld id="{4BA1BAC2-E442-F040-ABFD-F4BD93FA9315}"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2AE-4CB2-A262-EC2CBFDE943A}"/>
                </c:ext>
              </c:extLst>
            </c:dLbl>
            <c:dLbl>
              <c:idx val="4"/>
              <c:tx>
                <c:rich>
                  <a:bodyPr/>
                  <a:lstStyle/>
                  <a:p>
                    <a:fld id="{E4DD8834-A8C1-D647-9103-1F25825B2173}" type="CELLRANGE">
                      <a:rPr lang="en-US"/>
                      <a:pPr/>
                      <a:t>[]</a:t>
                    </a:fld>
                    <a:r>
                      <a:rPr lang="en-US" baseline="0"/>
                      <a:t>; </a:t>
                    </a:r>
                    <a:fld id="{148AAAFD-6E82-6B43-BA6B-DA8E83D864A5}"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2AE-4CB2-A262-EC2CBFDE943A}"/>
                </c:ext>
              </c:extLst>
            </c:dLbl>
            <c:dLbl>
              <c:idx val="5"/>
              <c:tx>
                <c:rich>
                  <a:bodyPr/>
                  <a:lstStyle/>
                  <a:p>
                    <a:fld id="{C8435CFF-AE5F-374F-8772-2FDF50BC02D1}" type="CELLRANGE">
                      <a:rPr lang="en-US"/>
                      <a:pPr/>
                      <a:t>[]</a:t>
                    </a:fld>
                    <a:r>
                      <a:rPr lang="en-US" baseline="0"/>
                      <a:t>; </a:t>
                    </a:r>
                    <a:fld id="{64447A6A-34DD-DA4B-A9F0-B7D45B2DB4A0}"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BB8-E54A-8AE1-1DAB80389CF8}"/>
                </c:ext>
              </c:extLst>
            </c:dLbl>
            <c:dLbl>
              <c:idx val="6"/>
              <c:tx>
                <c:rich>
                  <a:bodyPr/>
                  <a:lstStyle/>
                  <a:p>
                    <a:fld id="{7DE7880A-ABF8-5C44-AE84-9E0673839AE3}" type="CELLRANGE">
                      <a:rPr lang="en-US"/>
                      <a:pPr/>
                      <a:t>[]</a:t>
                    </a:fld>
                    <a:r>
                      <a:rPr lang="en-US" baseline="0"/>
                      <a:t>; </a:t>
                    </a:r>
                    <a:fld id="{CE0C932C-29D3-0642-B315-4A9142B47EB8}"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BB8-E54A-8AE1-1DAB80389CF8}"/>
                </c:ext>
              </c:extLst>
            </c:dLbl>
            <c:dLbl>
              <c:idx val="7"/>
              <c:tx>
                <c:rich>
                  <a:bodyPr/>
                  <a:lstStyle/>
                  <a:p>
                    <a:fld id="{328C1FF3-9CDD-444A-8C22-75D339E6E9BE}" type="CELLRANGE">
                      <a:rPr lang="en-US"/>
                      <a:pPr/>
                      <a:t>[]</a:t>
                    </a:fld>
                    <a:r>
                      <a:rPr lang="en-US" baseline="0"/>
                      <a:t>; </a:t>
                    </a:r>
                    <a:fld id="{1B71E720-F399-4B4C-BBBC-1B6A9540FCA8}" type="VALUE">
                      <a:rPr lang="en-US" baseline="0"/>
                      <a:pPr/>
                      <a:t>[]</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BB8-E54A-8AE1-1DAB80389C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Statements'!$B$28:$I$28</c:f>
              <c:numCache>
                <c:formatCode>0.0</c:formatCode>
                <c:ptCount val="8"/>
                <c:pt idx="0">
                  <c:v>0.42699386503067482</c:v>
                </c:pt>
                <c:pt idx="1">
                  <c:v>8.6205034028302902E-2</c:v>
                </c:pt>
                <c:pt idx="2" formatCode="0.0%">
                  <c:v>-0.79811177375555498</c:v>
                </c:pt>
                <c:pt idx="3">
                  <c:v>0.1516846947656347</c:v>
                </c:pt>
                <c:pt idx="4" formatCode="0.0%">
                  <c:v>0.75958047549558971</c:v>
                </c:pt>
                <c:pt idx="5">
                  <c:v>0.222036901907641</c:v>
                </c:pt>
                <c:pt idx="6" formatCode="0.0%">
                  <c:v>0.46380557544521039</c:v>
                </c:pt>
                <c:pt idx="7">
                  <c:v>0.17782909930715934</c:v>
                </c:pt>
              </c:numCache>
            </c:numRef>
          </c:val>
          <c:extLst>
            <c:ext xmlns:c15="http://schemas.microsoft.com/office/drawing/2012/chart" uri="{02D57815-91ED-43cb-92C2-25804820EDAC}">
              <c15:datalabelsRange>
                <c15:f>'Financial Statements'!$B$28:$I$28</c15:f>
                <c15:dlblRangeCache>
                  <c:ptCount val="8"/>
                  <c:pt idx="0">
                    <c:v>0.4</c:v>
                  </c:pt>
                  <c:pt idx="1">
                    <c:v>0.1</c:v>
                  </c:pt>
                  <c:pt idx="2">
                    <c:v>-79.8%</c:v>
                  </c:pt>
                  <c:pt idx="3">
                    <c:v>0.2</c:v>
                  </c:pt>
                  <c:pt idx="4">
                    <c:v>76.0%</c:v>
                  </c:pt>
                  <c:pt idx="5">
                    <c:v>0.2</c:v>
                  </c:pt>
                  <c:pt idx="6">
                    <c:v>46.4%</c:v>
                  </c:pt>
                  <c:pt idx="7">
                    <c:v>0.2</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DIVIDEND PAYOUT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DIVIDEND PAYOUT</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Statements'!$B$35:$I$35</c:f>
              <c:numCache>
                <c:formatCode>0.0</c:formatCode>
                <c:ptCount val="8"/>
                <c:pt idx="0">
                  <c:v>0.24858223062381851</c:v>
                </c:pt>
                <c:pt idx="1">
                  <c:v>0.96405228758169936</c:v>
                </c:pt>
                <c:pt idx="2" formatCode="0.0%">
                  <c:v>2.8782027386366464</c:v>
                </c:pt>
                <c:pt idx="3">
                  <c:v>-1.6666666666666667</c:v>
                </c:pt>
                <c:pt idx="4" formatCode="0.0%">
                  <c:v>-2.7288135593220337</c:v>
                </c:pt>
                <c:pt idx="5">
                  <c:v>0.16361256544502617</c:v>
                </c:pt>
                <c:pt idx="6" formatCode="0.0%">
                  <c:v>-1.0981675392670156</c:v>
                </c:pt>
                <c:pt idx="7">
                  <c:v>0.2664179104477612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DIVIDEND YIELD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DIVIDEND YIELD</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Statements'!$B$36:$I$36</c:f>
              <c:numCache>
                <c:formatCode>0.00%</c:formatCode>
                <c:ptCount val="8"/>
                <c:pt idx="0">
                  <c:v>9.5004154174041823E-3</c:v>
                </c:pt>
                <c:pt idx="1">
                  <c:v>2.6026158494894019E-2</c:v>
                </c:pt>
                <c:pt idx="2" formatCode="0.0%">
                  <c:v>1.7394758388370768</c:v>
                </c:pt>
                <c:pt idx="3">
                  <c:v>3.7852979029449614E-3</c:v>
                </c:pt>
                <c:pt idx="4" formatCode="0.0%">
                  <c:v>-0.85455794777828675</c:v>
                </c:pt>
                <c:pt idx="5">
                  <c:v>2.917833800186741E-3</c:v>
                </c:pt>
                <c:pt idx="6" formatCode="0.0%">
                  <c:v>-0.22916666666666674</c:v>
                </c:pt>
                <c:pt idx="7">
                  <c:v>1.0356892120058718E-2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P/E RATIO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PE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Statements'!$B$38:$I$38</c:f>
              <c:numCache>
                <c:formatCode>0.00</c:formatCode>
                <c:ptCount val="8"/>
                <c:pt idx="0">
                  <c:v>26.165406427221171</c:v>
                </c:pt>
                <c:pt idx="1">
                  <c:v>37.041666666666671</c:v>
                </c:pt>
                <c:pt idx="2" formatCode="0.0%">
                  <c:v>0.41567327722188119</c:v>
                </c:pt>
                <c:pt idx="3">
                  <c:v>0</c:v>
                </c:pt>
                <c:pt idx="4" formatCode="0.0%">
                  <c:v>0</c:v>
                </c:pt>
                <c:pt idx="5">
                  <c:v>56.073298429319372</c:v>
                </c:pt>
                <c:pt idx="6" formatCode="0.0%">
                  <c:v>0</c:v>
                </c:pt>
                <c:pt idx="7">
                  <c:v>25.723731343283582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eps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DPO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37E6FF53-4CBB-E840-8765-6807FD70B2C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510-4067-B76A-17FCF69F9757}"/>
                </c:ext>
              </c:extLst>
            </c:dLbl>
            <c:dLbl>
              <c:idx val="1"/>
              <c:tx>
                <c:rich>
                  <a:bodyPr/>
                  <a:lstStyle/>
                  <a:p>
                    <a:fld id="{00D8D035-E1D6-42B3-82C1-E3DA392C7D5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510-4067-B76A-17FCF69F9757}"/>
                </c:ext>
              </c:extLst>
            </c:dLbl>
            <c:dLbl>
              <c:idx val="2"/>
              <c:tx>
                <c:rich>
                  <a:bodyPr/>
                  <a:lstStyle/>
                  <a:p>
                    <a:fld id="{645226EC-6C28-4F68-963F-4F48D7BFE5D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510-4067-B76A-17FCF69F9757}"/>
                </c:ext>
              </c:extLst>
            </c:dLbl>
            <c:dLbl>
              <c:idx val="3"/>
              <c:tx>
                <c:rich>
                  <a:bodyPr/>
                  <a:lstStyle/>
                  <a:p>
                    <a:fld id="{5CDE0B97-365A-4FB4-9821-035F378FC62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B510-4067-B76A-17FCF69F9757}"/>
                </c:ext>
              </c:extLst>
            </c:dLbl>
            <c:dLbl>
              <c:idx val="4"/>
              <c:tx>
                <c:rich>
                  <a:bodyPr/>
                  <a:lstStyle/>
                  <a:p>
                    <a:fld id="{0A5A93D9-EA70-4E20-8F59-7882A1FCCF1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510-4067-B76A-17FCF69F9757}"/>
                </c:ext>
              </c:extLst>
            </c:dLbl>
            <c:dLbl>
              <c:idx val="5"/>
              <c:tx>
                <c:rich>
                  <a:bodyPr/>
                  <a:lstStyle/>
                  <a:p>
                    <a:fld id="{DD6602A3-D899-43D4-BD65-ACE5E7C9DD74}"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939-F342-8097-F90266FE33EB}"/>
                </c:ext>
              </c:extLst>
            </c:dLbl>
            <c:dLbl>
              <c:idx val="6"/>
              <c:tx>
                <c:rich>
                  <a:bodyPr/>
                  <a:lstStyle/>
                  <a:p>
                    <a:fld id="{2DDE3F40-DB9B-40D0-ACA2-7BD056E476F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939-F342-8097-F90266FE33EB}"/>
                </c:ext>
              </c:extLst>
            </c:dLbl>
            <c:dLbl>
              <c:idx val="7"/>
              <c:tx>
                <c:rich>
                  <a:bodyPr/>
                  <a:lstStyle/>
                  <a:p>
                    <a:fld id="{92E4F7DD-AC8F-44C5-B1D0-1D0A046E383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939-F342-8097-F90266FE33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Statements'!$B$21:$I$21</c:f>
              <c:numCache>
                <c:formatCode>0.0</c:formatCode>
                <c:ptCount val="8"/>
                <c:pt idx="0">
                  <c:v>79.97994077753367</c:v>
                </c:pt>
                <c:pt idx="1">
                  <c:v>89.442993174349041</c:v>
                </c:pt>
                <c:pt idx="2" formatCode="0.0%">
                  <c:v>0.11831782200410856</c:v>
                </c:pt>
                <c:pt idx="3">
                  <c:v>73.882959800782643</c:v>
                </c:pt>
                <c:pt idx="4" formatCode="0.0%">
                  <c:v>-0.17396592870316407</c:v>
                </c:pt>
                <c:pt idx="5">
                  <c:v>96.932578486875968</c:v>
                </c:pt>
                <c:pt idx="6" formatCode="0.0%">
                  <c:v>0.31197476046227868</c:v>
                </c:pt>
                <c:pt idx="7">
                  <c:v>88.460897809611055</c:v>
                </c:pt>
              </c:numCache>
            </c:numRef>
          </c:val>
          <c:extLst>
            <c:ext xmlns:c15="http://schemas.microsoft.com/office/drawing/2012/chart" uri="{02D57815-91ED-43cb-92C2-25804820EDAC}">
              <c15:datalabelsRange>
                <c15:f>'Financial Statements'!$B$37:$I$37</c15:f>
                <c15:dlblRangeCache>
                  <c:ptCount val="8"/>
                  <c:pt idx="0">
                    <c:v>11.85</c:v>
                  </c:pt>
                  <c:pt idx="1">
                    <c:v>3.43</c:v>
                  </c:pt>
                  <c:pt idx="2">
                    <c:v>-71.1%</c:v>
                  </c:pt>
                  <c:pt idx="3">
                    <c:v>-0.42</c:v>
                  </c:pt>
                  <c:pt idx="4">
                    <c:v>-112.3%</c:v>
                  </c:pt>
                  <c:pt idx="5">
                    <c:v>4.28</c:v>
                  </c:pt>
                  <c:pt idx="6">
                    <c:v>-1118.7%</c:v>
                  </c:pt>
                  <c:pt idx="7">
                    <c:v>7.50</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P/B RATIO</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PB RATIO</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0"/>
              <c:tx>
                <c:rich>
                  <a:bodyPr/>
                  <a:lstStyle/>
                  <a:p>
                    <a:fld id="{D1EA016D-BA8C-E343-B9CE-AAF42A9560A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F82-496D-A9DA-C3A13DF900DE}"/>
                </c:ext>
              </c:extLst>
            </c:dLbl>
            <c:dLbl>
              <c:idx val="1"/>
              <c:tx>
                <c:rich>
                  <a:bodyPr/>
                  <a:lstStyle/>
                  <a:p>
                    <a:fld id="{7274EE82-304A-4228-8BE4-F831D801F12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F82-496D-A9DA-C3A13DF900DE}"/>
                </c:ext>
              </c:extLst>
            </c:dLbl>
            <c:dLbl>
              <c:idx val="2"/>
              <c:tx>
                <c:rich>
                  <a:bodyPr/>
                  <a:lstStyle/>
                  <a:p>
                    <a:fld id="{969EB9A5-3125-4FBE-81E5-115F8C9D294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F82-496D-A9DA-C3A13DF900DE}"/>
                </c:ext>
              </c:extLst>
            </c:dLbl>
            <c:dLbl>
              <c:idx val="3"/>
              <c:tx>
                <c:rich>
                  <a:bodyPr/>
                  <a:lstStyle/>
                  <a:p>
                    <a:fld id="{B429038E-BC3B-4930-9D2A-F80410A63D5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F82-496D-A9DA-C3A13DF900DE}"/>
                </c:ext>
              </c:extLst>
            </c:dLbl>
            <c:dLbl>
              <c:idx val="4"/>
              <c:tx>
                <c:rich>
                  <a:bodyPr/>
                  <a:lstStyle/>
                  <a:p>
                    <a:fld id="{C66D1FF2-C16D-4EF7-A701-D828A6B5C9A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F82-496D-A9DA-C3A13DF900DE}"/>
                </c:ext>
              </c:extLst>
            </c:dLbl>
            <c:dLbl>
              <c:idx val="5"/>
              <c:tx>
                <c:rich>
                  <a:bodyPr/>
                  <a:lstStyle/>
                  <a:p>
                    <a:fld id="{C5B23532-3C3F-47D4-B0AC-68AB43D2FF6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29A-7B4C-AE06-2D03D1BABE21}"/>
                </c:ext>
              </c:extLst>
            </c:dLbl>
            <c:dLbl>
              <c:idx val="6"/>
              <c:tx>
                <c:rich>
                  <a:bodyPr/>
                  <a:lstStyle/>
                  <a:p>
                    <a:fld id="{28992ACC-75DB-4D5F-BCBC-FEB6CFB086C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29A-7B4C-AE06-2D03D1BABE21}"/>
                </c:ext>
              </c:extLst>
            </c:dLbl>
            <c:dLbl>
              <c:idx val="7"/>
              <c:tx>
                <c:rich>
                  <a:bodyPr/>
                  <a:lstStyle/>
                  <a:p>
                    <a:fld id="{FA3DBE1A-5DF0-465B-8D2E-3194B2FE823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29A-7B4C-AE06-2D03D1BABE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Statements'!$B$39:$I$39</c:f>
              <c:numCache>
                <c:formatCode>0.000</c:formatCode>
                <c:ptCount val="8"/>
                <c:pt idx="0">
                  <c:v>7.0646931223682534</c:v>
                </c:pt>
                <c:pt idx="1">
                  <c:v>4.2364978508689966</c:v>
                </c:pt>
                <c:pt idx="2" formatCode="0.0%">
                  <c:v>-0.40032811369323551</c:v>
                </c:pt>
                <c:pt idx="3">
                  <c:v>6.7050761421319791</c:v>
                </c:pt>
                <c:pt idx="4" formatCode="0.0%">
                  <c:v>0.58269315320356507</c:v>
                </c:pt>
                <c:pt idx="5">
                  <c:v>7.3006134969325158</c:v>
                </c:pt>
                <c:pt idx="6" formatCode="0.0%">
                  <c:v>8.8818880229923236E-2</c:v>
                </c:pt>
                <c:pt idx="7">
                  <c:v>5.9677631578947361</c:v>
                </c:pt>
              </c:numCache>
            </c:numRef>
          </c:val>
          <c:extLst>
            <c:ext xmlns:c15="http://schemas.microsoft.com/office/drawing/2012/chart" uri="{02D57815-91ED-43cb-92C2-25804820EDAC}">
              <c15:datalabelsRange>
                <c15:f>'Financial Statements'!$B$39:$I$39</c15:f>
                <c15:dlblRangeCache>
                  <c:ptCount val="8"/>
                  <c:pt idx="0">
                    <c:v>7.065</c:v>
                  </c:pt>
                  <c:pt idx="1">
                    <c:v>4.236</c:v>
                  </c:pt>
                  <c:pt idx="2">
                    <c:v>-40.0%</c:v>
                  </c:pt>
                  <c:pt idx="3">
                    <c:v>6.705</c:v>
                  </c:pt>
                  <c:pt idx="4">
                    <c:v>58.3%</c:v>
                  </c:pt>
                  <c:pt idx="5">
                    <c:v>7.301</c:v>
                  </c:pt>
                  <c:pt idx="6">
                    <c:v>8.9%</c:v>
                  </c:pt>
                  <c:pt idx="7">
                    <c:v>5.968</c:v>
                  </c:pt>
                </c15:dlblRangeCache>
              </c15:datalabelsRange>
            </c:ex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WCN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WCN</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Statements'!$B$42:$I$42</c:f>
              <c:numCache>
                <c:formatCode>#,##0</c:formatCode>
                <c:ptCount val="8"/>
                <c:pt idx="0">
                  <c:v>1753000</c:v>
                </c:pt>
                <c:pt idx="1">
                  <c:v>2847000</c:v>
                </c:pt>
                <c:pt idx="2" formatCode="0.0%">
                  <c:v>0.62407301768397039</c:v>
                </c:pt>
                <c:pt idx="3">
                  <c:v>1640000</c:v>
                </c:pt>
                <c:pt idx="4" formatCode="0.0%">
                  <c:v>-0.4239550403933966</c:v>
                </c:pt>
                <c:pt idx="5">
                  <c:v>1358000</c:v>
                </c:pt>
                <c:pt idx="6" formatCode="0.0%">
                  <c:v>-0.17195121951219516</c:v>
                </c:pt>
                <c:pt idx="7">
                  <c:v>2514000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WC</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WC</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Statements'!$B$41:$I$41</c:f>
              <c:numCache>
                <c:formatCode>#,##0</c:formatCode>
                <c:ptCount val="8"/>
                <c:pt idx="0">
                  <c:v>4979000</c:v>
                </c:pt>
                <c:pt idx="1">
                  <c:v>2476000</c:v>
                </c:pt>
                <c:pt idx="2" formatCode="0.0%">
                  <c:v>-0.50271138782888136</c:v>
                </c:pt>
                <c:pt idx="3">
                  <c:v>1766000</c:v>
                </c:pt>
                <c:pt idx="4" formatCode="0.0%">
                  <c:v>-0.28675282714054928</c:v>
                </c:pt>
                <c:pt idx="5">
                  <c:v>2311000</c:v>
                </c:pt>
                <c:pt idx="6" formatCode="0.0%">
                  <c:v>0.30860702151755381</c:v>
                </c:pt>
                <c:pt idx="7">
                  <c:v>2533000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NET CASH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NC</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20-4A1F-AF5E-52A76FFEBE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Statements'!$B$43:$I$43</c:f>
              <c:numCache>
                <c:formatCode>#,##0</c:formatCode>
                <c:ptCount val="8"/>
                <c:pt idx="0">
                  <c:v>3226000</c:v>
                </c:pt>
                <c:pt idx="1">
                  <c:v>-371000</c:v>
                </c:pt>
                <c:pt idx="2" formatCode="0.0%">
                  <c:v>-1.1150030998140112</c:v>
                </c:pt>
                <c:pt idx="3">
                  <c:v>126000</c:v>
                </c:pt>
                <c:pt idx="4" formatCode="0.0%">
                  <c:v>-1.3396226415094339</c:v>
                </c:pt>
                <c:pt idx="5">
                  <c:v>953000</c:v>
                </c:pt>
                <c:pt idx="6" formatCode="0.0%">
                  <c:v>6.5634920634920633</c:v>
                </c:pt>
                <c:pt idx="7">
                  <c:v>19000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CAPITAL EMPLOYED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CAPITAL EMPLOYED</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Statements'!$B$44:$I$44</c:f>
              <c:numCache>
                <c:formatCode>General</c:formatCode>
                <c:ptCount val="8"/>
                <c:pt idx="0" formatCode="#,##0">
                  <c:v>9946000</c:v>
                </c:pt>
                <c:pt idx="1">
                  <c:v>10.109</c:v>
                </c:pt>
                <c:pt idx="2" formatCode="0.0%">
                  <c:v>-0.99999898361150208</c:v>
                </c:pt>
                <c:pt idx="3">
                  <c:v>9.8510000000000009</c:v>
                </c:pt>
                <c:pt idx="4" formatCode="0.0%">
                  <c:v>-2.5521812246512954E-2</c:v>
                </c:pt>
                <c:pt idx="5">
                  <c:v>11.41</c:v>
                </c:pt>
                <c:pt idx="6" formatCode="0.0%">
                  <c:v>0.15825804486854111</c:v>
                </c:pt>
                <c:pt idx="7">
                  <c:v>9.9459999999999997</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NET DEBT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NET DEBT</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Statements'!$B$46:$I$46</c:f>
              <c:numCache>
                <c:formatCode>#,##0</c:formatCode>
                <c:ptCount val="8"/>
                <c:pt idx="0">
                  <c:v>2109000</c:v>
                </c:pt>
                <c:pt idx="1">
                  <c:v>6060000</c:v>
                </c:pt>
                <c:pt idx="2" formatCode="0.0%">
                  <c:v>1.8733997155049789</c:v>
                </c:pt>
                <c:pt idx="3">
                  <c:v>4926000</c:v>
                </c:pt>
                <c:pt idx="4" formatCode="0.0%">
                  <c:v>-0.18712871287128718</c:v>
                </c:pt>
                <c:pt idx="5">
                  <c:v>4241000</c:v>
                </c:pt>
                <c:pt idx="6" formatCode="0.0%">
                  <c:v>-0.13905805927730408</c:v>
                </c:pt>
                <c:pt idx="7">
                  <c:v>4674000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INVESTED CAPITAL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INVESTED CAPITAL</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Statements'!$B$45:$I$45</c:f>
              <c:numCache>
                <c:formatCode>General</c:formatCode>
                <c:ptCount val="8"/>
                <c:pt idx="0" formatCode="#,##0">
                  <c:v>9946000</c:v>
                </c:pt>
                <c:pt idx="1">
                  <c:v>10.109</c:v>
                </c:pt>
                <c:pt idx="2" formatCode="0.0%">
                  <c:v>-0.99999898361150208</c:v>
                </c:pt>
                <c:pt idx="3">
                  <c:v>9.8510000000000009</c:v>
                </c:pt>
                <c:pt idx="4" formatCode="0.0%">
                  <c:v>-2.5521812246512954E-2</c:v>
                </c:pt>
                <c:pt idx="5">
                  <c:v>11.411</c:v>
                </c:pt>
                <c:pt idx="6" formatCode="0.0%">
                  <c:v>0.15835955740533936</c:v>
                </c:pt>
                <c:pt idx="7">
                  <c:v>9.9459999999999997</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entreprise value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EV</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Statements'!$B$47:$I$47</c:f>
              <c:numCache>
                <c:formatCode>#,##0</c:formatCode>
                <c:ptCount val="8"/>
                <c:pt idx="0">
                  <c:v>57475000</c:v>
                </c:pt>
                <c:pt idx="1">
                  <c:v>28729500</c:v>
                </c:pt>
                <c:pt idx="2" formatCode="0.0%">
                  <c:v>-0.50013919095258808</c:v>
                </c:pt>
                <c:pt idx="3">
                  <c:v>37948500</c:v>
                </c:pt>
                <c:pt idx="4" formatCode="0.0%">
                  <c:v>0.32088967785725475</c:v>
                </c:pt>
                <c:pt idx="5">
                  <c:v>47081000</c:v>
                </c:pt>
                <c:pt idx="6" formatCode="0.0%">
                  <c:v>0.24065509835698373</c:v>
                </c:pt>
                <c:pt idx="7">
                  <c:v>39143800</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EV/EBITDA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EV  EBITDA</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Statements'!$B$48:$I$48</c:f>
              <c:numCache>
                <c:formatCode>General</c:formatCode>
                <c:ptCount val="8"/>
                <c:pt idx="0">
                  <c:v>18.745923026744943</c:v>
                </c:pt>
                <c:pt idx="1">
                  <c:v>15.330576307363927</c:v>
                </c:pt>
                <c:pt idx="2" formatCode="0.0%">
                  <c:v>-0.18219144048059499</c:v>
                </c:pt>
                <c:pt idx="3">
                  <c:v>27.944403534609719</c:v>
                </c:pt>
                <c:pt idx="4" formatCode="0.0%">
                  <c:v>0.82278884853055634</c:v>
                </c:pt>
                <c:pt idx="5">
                  <c:v>19.099797160243408</c:v>
                </c:pt>
                <c:pt idx="6" formatCode="0.0%">
                  <c:v>-0.31650725210191311</c:v>
                </c:pt>
                <c:pt idx="7">
                  <c:v>12.530025608194622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General"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NET DEBT/EBITDA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FR"/>
        </a:p>
      </c:txPr>
    </c:title>
    <c:autoTitleDeleted val="0"/>
    <c:plotArea>
      <c:layout/>
      <c:barChart>
        <c:barDir val="col"/>
        <c:grouping val="clustered"/>
        <c:varyColors val="0"/>
        <c:ser>
          <c:idx val="0"/>
          <c:order val="0"/>
          <c:tx>
            <c:v>NET DEBT EBITDA</c:v>
          </c:tx>
          <c:spPr>
            <a:gradFill flip="none" rotWithShape="1">
              <a:gsLst>
                <a:gs pos="47000">
                  <a:schemeClr val="bg2">
                    <a:lumMod val="25000"/>
                  </a:schemeClr>
                </a:gs>
                <a:gs pos="74000">
                  <a:schemeClr val="bg2">
                    <a:lumMod val="50000"/>
                  </a:schemeClr>
                </a:gs>
                <a:gs pos="19000">
                  <a:srgbClr val="1A1A1A"/>
                </a:gs>
                <a:gs pos="100000">
                  <a:srgbClr val="FFF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'Financial Statements'!$B$5:$I$5</c:f>
              <c:strCache>
                <c:ptCount val="8"/>
                <c:pt idx="0">
                  <c:v>2021</c:v>
                </c:pt>
                <c:pt idx="1">
                  <c:v>2022</c:v>
                </c:pt>
                <c:pt idx="2">
                  <c:v>Trend N-1</c:v>
                </c:pt>
                <c:pt idx="3">
                  <c:v>2023</c:v>
                </c:pt>
                <c:pt idx="4">
                  <c:v>Trend N-1</c:v>
                </c:pt>
                <c:pt idx="5">
                  <c:v>2024</c:v>
                </c:pt>
                <c:pt idx="6">
                  <c:v>Trend N-1</c:v>
                </c:pt>
                <c:pt idx="7">
                  <c:v>2025</c:v>
                </c:pt>
              </c:strCache>
            </c:strRef>
          </c:cat>
          <c:val>
            <c:numRef>
              <c:f>'Financial Statements'!$B$49:$I$49</c:f>
              <c:numCache>
                <c:formatCode>0.000</c:formatCode>
                <c:ptCount val="8"/>
                <c:pt idx="0">
                  <c:v>0.68786692759295498</c:v>
                </c:pt>
                <c:pt idx="1">
                  <c:v>3.2337246531483457</c:v>
                </c:pt>
                <c:pt idx="2" formatCode="0.0%">
                  <c:v>3.7010904630406962</c:v>
                </c:pt>
                <c:pt idx="3">
                  <c:v>3.6273932253313697</c:v>
                </c:pt>
                <c:pt idx="4" formatCode="0.0%">
                  <c:v>0.12173843304801757</c:v>
                </c:pt>
                <c:pt idx="5">
                  <c:v>1.7204868154158215</c:v>
                </c:pt>
                <c:pt idx="6" formatCode="0.0%">
                  <c:v>-0.52569608296088388</c:v>
                </c:pt>
                <c:pt idx="7">
                  <c:v>1.4961587708066582</c:v>
                </c:pt>
              </c:numCache>
            </c:numRef>
          </c:val>
          <c:extLst>
            <c:ext xmlns:c16="http://schemas.microsoft.com/office/drawing/2014/chart" uri="{C3380CC4-5D6E-409C-BE32-E72D297353CC}">
              <c16:uniqueId val="{00000000-7E34-4024-86D7-8C7A1DF56105}"/>
            </c:ext>
          </c:extLst>
        </c:ser>
        <c:dLbls>
          <c:showLegendKey val="0"/>
          <c:showVal val="1"/>
          <c:showCatName val="0"/>
          <c:showSerName val="0"/>
          <c:showPercent val="0"/>
          <c:showBubbleSize val="0"/>
        </c:dLbls>
        <c:gapWidth val="150"/>
        <c:overlap val="-25"/>
        <c:axId val="728749360"/>
        <c:axId val="728746960"/>
      </c:barChart>
      <c:catAx>
        <c:axId val="72874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728746960"/>
        <c:crosses val="autoZero"/>
        <c:auto val="1"/>
        <c:lblAlgn val="ctr"/>
        <c:lblOffset val="100"/>
        <c:noMultiLvlLbl val="0"/>
      </c:catAx>
      <c:valAx>
        <c:axId val="728746960"/>
        <c:scaling>
          <c:orientation val="minMax"/>
        </c:scaling>
        <c:delete val="1"/>
        <c:axPos val="l"/>
        <c:numFmt formatCode="0.000" sourceLinked="1"/>
        <c:majorTickMark val="none"/>
        <c:minorTickMark val="none"/>
        <c:tickLblPos val="nextTo"/>
        <c:crossAx val="728749360"/>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Financial Statements'!A1"/><Relationship Id="rId3" Type="http://schemas.openxmlformats.org/officeDocument/2006/relationships/hyperlink" Target="#Profitability!A1"/><Relationship Id="rId7" Type="http://schemas.openxmlformats.org/officeDocument/2006/relationships/hyperlink" Target="#'Ratio for investors shareholder'!A1"/><Relationship Id="rId2" Type="http://schemas.openxmlformats.org/officeDocument/2006/relationships/image" Target="../media/image1.png"/><Relationship Id="rId1" Type="http://schemas.openxmlformats.org/officeDocument/2006/relationships/hyperlink" Target="#MENU!A1"/><Relationship Id="rId6" Type="http://schemas.openxmlformats.org/officeDocument/2006/relationships/hyperlink" Target="#'Financial management '!A1"/><Relationship Id="rId5" Type="http://schemas.openxmlformats.org/officeDocument/2006/relationships/hyperlink" Target="#'Investment management'!A1"/><Relationship Id="rId10" Type="http://schemas.openxmlformats.org/officeDocument/2006/relationships/hyperlink" Target="#Performance!A1"/><Relationship Id="rId4" Type="http://schemas.openxmlformats.org/officeDocument/2006/relationships/hyperlink" Target="#'Operating Management'!A1"/><Relationship Id="rId9" Type="http://schemas.openxmlformats.org/officeDocument/2006/relationships/hyperlink" Target="#SFS!A1"/></Relationships>
</file>

<file path=xl/drawings/_rels/drawing2.xml.rels><?xml version="1.0" encoding="UTF-8" standalone="yes"?>
<Relationships xmlns="http://schemas.openxmlformats.org/package/2006/relationships"><Relationship Id="rId8" Type="http://schemas.openxmlformats.org/officeDocument/2006/relationships/hyperlink" Target="#SFS!A1"/><Relationship Id="rId3" Type="http://schemas.openxmlformats.org/officeDocument/2006/relationships/hyperlink" Target="#'Operating Management'!A1"/><Relationship Id="rId7" Type="http://schemas.openxmlformats.org/officeDocument/2006/relationships/hyperlink" Target="#'Financial Statements'!A1"/><Relationship Id="rId2" Type="http://schemas.openxmlformats.org/officeDocument/2006/relationships/hyperlink" Target="#Profitability!A1"/><Relationship Id="rId1" Type="http://schemas.openxmlformats.org/officeDocument/2006/relationships/hyperlink" Target="#MENU!A1"/><Relationship Id="rId6" Type="http://schemas.openxmlformats.org/officeDocument/2006/relationships/hyperlink" Target="#'Ratio for investors shareholder'!A1"/><Relationship Id="rId5" Type="http://schemas.openxmlformats.org/officeDocument/2006/relationships/hyperlink" Target="#'Financial management '!A1"/><Relationship Id="rId10" Type="http://schemas.openxmlformats.org/officeDocument/2006/relationships/chart" Target="../charts/chart1.xml"/><Relationship Id="rId4" Type="http://schemas.openxmlformats.org/officeDocument/2006/relationships/hyperlink" Target="#'Investment management'!A1"/><Relationship Id="rId9" Type="http://schemas.openxmlformats.org/officeDocument/2006/relationships/hyperlink" Target="#Performance!A1"/></Relationships>
</file>

<file path=xl/drawings/_rels/drawing3.xml.rels><?xml version="1.0" encoding="UTF-8" standalone="yes"?>
<Relationships xmlns="http://schemas.openxmlformats.org/package/2006/relationships"><Relationship Id="rId8" Type="http://schemas.openxmlformats.org/officeDocument/2006/relationships/hyperlink" Target="#'Investment management'!A1"/><Relationship Id="rId13" Type="http://schemas.openxmlformats.org/officeDocument/2006/relationships/hyperlink" Target="#Performance!A1"/><Relationship Id="rId3" Type="http://schemas.openxmlformats.org/officeDocument/2006/relationships/chart" Target="../charts/chart4.xml"/><Relationship Id="rId7" Type="http://schemas.openxmlformats.org/officeDocument/2006/relationships/hyperlink" Target="#'Operating Management'!A1"/><Relationship Id="rId12" Type="http://schemas.openxmlformats.org/officeDocument/2006/relationships/hyperlink" Target="#SFS!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Profitability!A1"/><Relationship Id="rId11" Type="http://schemas.openxmlformats.org/officeDocument/2006/relationships/hyperlink" Target="#'Financial Statements'!A1"/><Relationship Id="rId5" Type="http://schemas.openxmlformats.org/officeDocument/2006/relationships/hyperlink" Target="#MENU!A1"/><Relationship Id="rId10" Type="http://schemas.openxmlformats.org/officeDocument/2006/relationships/hyperlink" Target="#'Ratio for investors shareholder'!A1"/><Relationship Id="rId4" Type="http://schemas.openxmlformats.org/officeDocument/2006/relationships/chart" Target="../charts/chart5.xml"/><Relationship Id="rId9" Type="http://schemas.openxmlformats.org/officeDocument/2006/relationships/hyperlink" Target="#'Financial management  Solvency '!A1"/></Relationships>
</file>

<file path=xl/drawings/_rels/drawing4.xml.rels><?xml version="1.0" encoding="UTF-8" standalone="yes"?>
<Relationships xmlns="http://schemas.openxmlformats.org/package/2006/relationships"><Relationship Id="rId8" Type="http://schemas.openxmlformats.org/officeDocument/2006/relationships/hyperlink" Target="#'Operating Management'!A1"/><Relationship Id="rId13" Type="http://schemas.openxmlformats.org/officeDocument/2006/relationships/hyperlink" Target="#SFS!A1"/><Relationship Id="rId3" Type="http://schemas.openxmlformats.org/officeDocument/2006/relationships/chart" Target="../charts/chart8.xml"/><Relationship Id="rId7" Type="http://schemas.openxmlformats.org/officeDocument/2006/relationships/hyperlink" Target="#Profitability!A1"/><Relationship Id="rId12" Type="http://schemas.openxmlformats.org/officeDocument/2006/relationships/hyperlink" Target="#'Financial Statements'!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MENU!A1"/><Relationship Id="rId11" Type="http://schemas.openxmlformats.org/officeDocument/2006/relationships/hyperlink" Target="#'Ratio for investors shareholder'!A1"/><Relationship Id="rId5" Type="http://schemas.openxmlformats.org/officeDocument/2006/relationships/chart" Target="../charts/chart10.xml"/><Relationship Id="rId10" Type="http://schemas.openxmlformats.org/officeDocument/2006/relationships/hyperlink" Target="#'Financial management '!A1"/><Relationship Id="rId4" Type="http://schemas.openxmlformats.org/officeDocument/2006/relationships/chart" Target="../charts/chart9.xml"/><Relationship Id="rId9" Type="http://schemas.openxmlformats.org/officeDocument/2006/relationships/hyperlink" Target="#'Investment management'!A1"/><Relationship Id="rId14" Type="http://schemas.openxmlformats.org/officeDocument/2006/relationships/hyperlink" Target="#Performance!A1"/></Relationships>
</file>

<file path=xl/drawings/_rels/drawing5.xml.rels><?xml version="1.0" encoding="UTF-8" standalone="yes"?>
<Relationships xmlns="http://schemas.openxmlformats.org/package/2006/relationships"><Relationship Id="rId8" Type="http://schemas.openxmlformats.org/officeDocument/2006/relationships/hyperlink" Target="#'Investment management'!A1"/><Relationship Id="rId13" Type="http://schemas.openxmlformats.org/officeDocument/2006/relationships/hyperlink" Target="#Performance!A1"/><Relationship Id="rId3" Type="http://schemas.openxmlformats.org/officeDocument/2006/relationships/chart" Target="../charts/chart13.xml"/><Relationship Id="rId7" Type="http://schemas.openxmlformats.org/officeDocument/2006/relationships/hyperlink" Target="#'Operating Management'!A1"/><Relationship Id="rId12" Type="http://schemas.openxmlformats.org/officeDocument/2006/relationships/hyperlink" Target="#SFS!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Profitability!A1"/><Relationship Id="rId11" Type="http://schemas.openxmlformats.org/officeDocument/2006/relationships/hyperlink" Target="#'Financial Statements'!A1"/><Relationship Id="rId5" Type="http://schemas.openxmlformats.org/officeDocument/2006/relationships/hyperlink" Target="#MENU!A1"/><Relationship Id="rId10" Type="http://schemas.openxmlformats.org/officeDocument/2006/relationships/hyperlink" Target="#'Ratio for investors shareholder'!A1"/><Relationship Id="rId4" Type="http://schemas.openxmlformats.org/officeDocument/2006/relationships/chart" Target="../charts/chart14.xml"/><Relationship Id="rId9" Type="http://schemas.openxmlformats.org/officeDocument/2006/relationships/hyperlink" Target="#'Financial management '!A1"/></Relationships>
</file>

<file path=xl/drawings/_rels/drawing6.xml.rels><?xml version="1.0" encoding="UTF-8" standalone="yes"?>
<Relationships xmlns="http://schemas.openxmlformats.org/package/2006/relationships"><Relationship Id="rId8" Type="http://schemas.openxmlformats.org/officeDocument/2006/relationships/hyperlink" Target="#MENU!A1"/><Relationship Id="rId13" Type="http://schemas.openxmlformats.org/officeDocument/2006/relationships/hyperlink" Target="#'Ratio for investors shareholder'!A1"/><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hyperlink" Target="#'Financial management '!A1"/><Relationship Id="rId2" Type="http://schemas.openxmlformats.org/officeDocument/2006/relationships/chart" Target="../charts/chart16.xml"/><Relationship Id="rId16" Type="http://schemas.openxmlformats.org/officeDocument/2006/relationships/hyperlink" Target="#Performance!A1"/><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hyperlink" Target="#'Investment management'!A1"/><Relationship Id="rId5" Type="http://schemas.openxmlformats.org/officeDocument/2006/relationships/chart" Target="../charts/chart19.xml"/><Relationship Id="rId15" Type="http://schemas.openxmlformats.org/officeDocument/2006/relationships/hyperlink" Target="#SFS!A1"/><Relationship Id="rId10" Type="http://schemas.openxmlformats.org/officeDocument/2006/relationships/hyperlink" Target="#'Operating Management'!A1"/><Relationship Id="rId4" Type="http://schemas.openxmlformats.org/officeDocument/2006/relationships/chart" Target="../charts/chart18.xml"/><Relationship Id="rId9" Type="http://schemas.openxmlformats.org/officeDocument/2006/relationships/hyperlink" Target="#Profitability!A1"/><Relationship Id="rId14" Type="http://schemas.openxmlformats.org/officeDocument/2006/relationships/hyperlink" Target="#'Financial Statements'!A1"/></Relationships>
</file>

<file path=xl/drawings/_rels/drawing7.xml.rels><?xml version="1.0" encoding="UTF-8" standalone="yes"?>
<Relationships xmlns="http://schemas.openxmlformats.org/package/2006/relationships"><Relationship Id="rId8" Type="http://schemas.openxmlformats.org/officeDocument/2006/relationships/hyperlink" Target="#'Operating Management'!A1"/><Relationship Id="rId13" Type="http://schemas.openxmlformats.org/officeDocument/2006/relationships/hyperlink" Target="#SFS!A1"/><Relationship Id="rId3" Type="http://schemas.openxmlformats.org/officeDocument/2006/relationships/chart" Target="../charts/chart24.xml"/><Relationship Id="rId7" Type="http://schemas.openxmlformats.org/officeDocument/2006/relationships/hyperlink" Target="#Profitability!A1"/><Relationship Id="rId12" Type="http://schemas.openxmlformats.org/officeDocument/2006/relationships/hyperlink" Target="#'Financial Statements'!A1"/><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hyperlink" Target="#MENU!A1"/><Relationship Id="rId11" Type="http://schemas.openxmlformats.org/officeDocument/2006/relationships/hyperlink" Target="#'Ratio for investors shareholder'!A1"/><Relationship Id="rId5" Type="http://schemas.openxmlformats.org/officeDocument/2006/relationships/chart" Target="../charts/chart26.xml"/><Relationship Id="rId10" Type="http://schemas.openxmlformats.org/officeDocument/2006/relationships/hyperlink" Target="#'Financial management '!A1"/><Relationship Id="rId4" Type="http://schemas.openxmlformats.org/officeDocument/2006/relationships/chart" Target="../charts/chart25.xml"/><Relationship Id="rId9" Type="http://schemas.openxmlformats.org/officeDocument/2006/relationships/hyperlink" Target="#'Investment management'!A1"/><Relationship Id="rId14" Type="http://schemas.openxmlformats.org/officeDocument/2006/relationships/hyperlink" Target="#Performance!A1"/></Relationships>
</file>

<file path=xl/drawings/_rels/drawing8.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hyperlink" Target="#'Investment management'!A1"/><Relationship Id="rId18" Type="http://schemas.openxmlformats.org/officeDocument/2006/relationships/hyperlink" Target="#Performance!A1"/><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hyperlink" Target="#'Operating Management'!A1"/><Relationship Id="rId17" Type="http://schemas.openxmlformats.org/officeDocument/2006/relationships/hyperlink" Target="#SFS!A1"/><Relationship Id="rId2" Type="http://schemas.openxmlformats.org/officeDocument/2006/relationships/chart" Target="../charts/chart28.xml"/><Relationship Id="rId16" Type="http://schemas.openxmlformats.org/officeDocument/2006/relationships/hyperlink" Target="#'Financial Statements'!A1"/><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hyperlink" Target="#Profitability!A1"/><Relationship Id="rId5" Type="http://schemas.openxmlformats.org/officeDocument/2006/relationships/chart" Target="../charts/chart31.xml"/><Relationship Id="rId15" Type="http://schemas.openxmlformats.org/officeDocument/2006/relationships/hyperlink" Target="#'Ratio for investors shareholder'!A1"/><Relationship Id="rId10" Type="http://schemas.openxmlformats.org/officeDocument/2006/relationships/hyperlink" Target="#MENU!A1"/><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hyperlink" Target="#'Financial management '!A1"/></Relationships>
</file>

<file path=xl/drawings/_rels/drawing9.xml.rels><?xml version="1.0" encoding="UTF-8" standalone="yes"?>
<Relationships xmlns="http://schemas.openxmlformats.org/package/2006/relationships"><Relationship Id="rId8" Type="http://schemas.openxmlformats.org/officeDocument/2006/relationships/hyperlink" Target="#SFS!A1"/><Relationship Id="rId3" Type="http://schemas.openxmlformats.org/officeDocument/2006/relationships/hyperlink" Target="#'Operating Management'!A1"/><Relationship Id="rId7" Type="http://schemas.openxmlformats.org/officeDocument/2006/relationships/hyperlink" Target="#'Financial Statements'!A1"/><Relationship Id="rId2" Type="http://schemas.openxmlformats.org/officeDocument/2006/relationships/hyperlink" Target="#Profitability!A1"/><Relationship Id="rId1" Type="http://schemas.openxmlformats.org/officeDocument/2006/relationships/hyperlink" Target="#MENU!A1"/><Relationship Id="rId6" Type="http://schemas.openxmlformats.org/officeDocument/2006/relationships/hyperlink" Target="#'Ratio for investors shareholder'!A1"/><Relationship Id="rId5" Type="http://schemas.openxmlformats.org/officeDocument/2006/relationships/hyperlink" Target="#'Financial management '!A1"/><Relationship Id="rId4" Type="http://schemas.openxmlformats.org/officeDocument/2006/relationships/hyperlink" Target="#'Investment management'!A1"/><Relationship Id="rId9" Type="http://schemas.openxmlformats.org/officeDocument/2006/relationships/hyperlink" Target="#Performance!A1"/></Relationships>
</file>

<file path=xl/drawings/drawing1.xml><?xml version="1.0" encoding="utf-8"?>
<xdr:wsDr xmlns:xdr="http://schemas.openxmlformats.org/drawingml/2006/spreadsheetDrawing" xmlns:a="http://schemas.openxmlformats.org/drawingml/2006/main">
  <xdr:twoCellAnchor>
    <xdr:from>
      <xdr:col>2</xdr:col>
      <xdr:colOff>94785</xdr:colOff>
      <xdr:row>20</xdr:row>
      <xdr:rowOff>159399</xdr:rowOff>
    </xdr:from>
    <xdr:to>
      <xdr:col>12</xdr:col>
      <xdr:colOff>162127</xdr:colOff>
      <xdr:row>59</xdr:row>
      <xdr:rowOff>158136</xdr:rowOff>
    </xdr:to>
    <xdr:sp macro="" textlink="">
      <xdr:nvSpPr>
        <xdr:cNvPr id="2" name="TextBox 1">
          <a:extLst>
            <a:ext uri="{FF2B5EF4-FFF2-40B4-BE49-F238E27FC236}">
              <a16:creationId xmlns:a16="http://schemas.microsoft.com/office/drawing/2014/main" id="{DE168258-CDBD-47B9-9784-AF3BD87D9AC8}"/>
            </a:ext>
          </a:extLst>
        </xdr:cNvPr>
        <xdr:cNvSpPr txBox="1"/>
      </xdr:nvSpPr>
      <xdr:spPr>
        <a:xfrm>
          <a:off x="1313985" y="4121799"/>
          <a:ext cx="6163342" cy="7725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0" b="1" i="0" cap="all" spc="-300" baseline="0">
              <a:solidFill>
                <a:schemeClr val="bg1"/>
              </a:solidFill>
              <a:effectLst/>
              <a:latin typeface="Barlow Condensed" panose="00000506000000000000" pitchFamily="2" charset="0"/>
              <a:ea typeface="+mn-ea"/>
              <a:cs typeface="+mn-cs"/>
            </a:rPr>
            <a:t>FISCAL</a:t>
          </a:r>
        </a:p>
        <a:p>
          <a:r>
            <a:rPr lang="en-GB" sz="15000" b="1" i="0" cap="all" spc="-300" baseline="0">
              <a:solidFill>
                <a:schemeClr val="bg1"/>
              </a:solidFill>
              <a:effectLst/>
              <a:latin typeface="Barlow Condensed" panose="00000506000000000000" pitchFamily="2" charset="0"/>
              <a:ea typeface="+mn-ea"/>
              <a:cs typeface="+mn-cs"/>
            </a:rPr>
            <a:t>YEAR</a:t>
          </a:r>
        </a:p>
        <a:p>
          <a:pPr algn="l">
            <a:buNone/>
          </a:pPr>
          <a:r>
            <a:rPr lang="en-GB" sz="15000" b="1" i="0" cap="all" spc="-300" baseline="0">
              <a:solidFill>
                <a:srgbClr val="FF0000"/>
              </a:solidFill>
              <a:effectLst/>
              <a:latin typeface="Barlow Condensed" panose="00000506000000000000" pitchFamily="2" charset="0"/>
              <a:ea typeface="+mn-ea"/>
              <a:cs typeface="+mn-cs"/>
            </a:rPr>
            <a:t>2024</a:t>
          </a:r>
        </a:p>
      </xdr:txBody>
    </xdr:sp>
    <xdr:clientData/>
  </xdr:twoCellAnchor>
  <xdr:twoCellAnchor>
    <xdr:from>
      <xdr:col>20</xdr:col>
      <xdr:colOff>563951</xdr:colOff>
      <xdr:row>4</xdr:row>
      <xdr:rowOff>158723</xdr:rowOff>
    </xdr:from>
    <xdr:to>
      <xdr:col>28</xdr:col>
      <xdr:colOff>0</xdr:colOff>
      <xdr:row>60</xdr:row>
      <xdr:rowOff>147486</xdr:rowOff>
    </xdr:to>
    <xdr:sp macro="" textlink="">
      <xdr:nvSpPr>
        <xdr:cNvPr id="3" name="TextBox 2">
          <a:extLst>
            <a:ext uri="{FF2B5EF4-FFF2-40B4-BE49-F238E27FC236}">
              <a16:creationId xmlns:a16="http://schemas.microsoft.com/office/drawing/2014/main" id="{5E2FD4EF-28F4-4D92-9659-5F9A0A3E3C05}"/>
            </a:ext>
          </a:extLst>
        </xdr:cNvPr>
        <xdr:cNvSpPr txBox="1"/>
      </xdr:nvSpPr>
      <xdr:spPr>
        <a:xfrm>
          <a:off x="12755951" y="951203"/>
          <a:ext cx="4312849" cy="11083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0000" b="1" i="0" cap="all" spc="-300" baseline="0">
              <a:solidFill>
                <a:srgbClr val="FFFFFF"/>
              </a:solidFill>
              <a:effectLst/>
              <a:latin typeface="Barlow Condensed" panose="00000506000000000000" pitchFamily="2" charset="0"/>
              <a:ea typeface="+mn-ea"/>
              <a:cs typeface="+mn-cs"/>
            </a:rPr>
            <a:t>20</a:t>
          </a:r>
        </a:p>
        <a:p>
          <a:r>
            <a:rPr lang="en-GB" sz="30000" b="1" i="0" cap="all" spc="-300" baseline="0">
              <a:solidFill>
                <a:srgbClr val="FFFFFF"/>
              </a:solidFill>
              <a:effectLst/>
              <a:latin typeface="Barlow Condensed" panose="00000506000000000000" pitchFamily="2" charset="0"/>
              <a:ea typeface="+mn-ea"/>
              <a:cs typeface="+mn-cs"/>
            </a:rPr>
            <a:t>24</a:t>
          </a:r>
        </a:p>
      </xdr:txBody>
    </xdr:sp>
    <xdr:clientData/>
  </xdr:twoCellAnchor>
  <xdr:twoCellAnchor>
    <xdr:from>
      <xdr:col>2</xdr:col>
      <xdr:colOff>604461</xdr:colOff>
      <xdr:row>19</xdr:row>
      <xdr:rowOff>67139</xdr:rowOff>
    </xdr:from>
    <xdr:to>
      <xdr:col>8</xdr:col>
      <xdr:colOff>503818</xdr:colOff>
      <xdr:row>27</xdr:row>
      <xdr:rowOff>16565</xdr:rowOff>
    </xdr:to>
    <xdr:sp macro="" textlink="">
      <xdr:nvSpPr>
        <xdr:cNvPr id="4" name="TextBox 3">
          <a:extLst>
            <a:ext uri="{FF2B5EF4-FFF2-40B4-BE49-F238E27FC236}">
              <a16:creationId xmlns:a16="http://schemas.microsoft.com/office/drawing/2014/main" id="{14BEF992-ABD6-4C57-B3FF-E0E6E4D63063}"/>
            </a:ext>
          </a:extLst>
        </xdr:cNvPr>
        <xdr:cNvSpPr txBox="1"/>
      </xdr:nvSpPr>
      <xdr:spPr>
        <a:xfrm>
          <a:off x="1823661" y="3831419"/>
          <a:ext cx="3556957" cy="1534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800" b="0" i="0" cap="all">
              <a:solidFill>
                <a:srgbClr val="E8001A"/>
              </a:solidFill>
              <a:effectLst/>
              <a:latin typeface="Barlow Condensed" panose="00000506000000000000" pitchFamily="2" charset="0"/>
            </a:rPr>
            <a:t>Annual Financial Report </a:t>
          </a:r>
        </a:p>
        <a:p>
          <a:pPr algn="l">
            <a:buNone/>
          </a:pPr>
          <a:endParaRPr lang="en-GB" sz="2800" b="0" i="0" cap="all">
            <a:solidFill>
              <a:srgbClr val="E8001A"/>
            </a:solidFill>
            <a:effectLst/>
            <a:latin typeface="Barlow Condensed" panose="00000506000000000000" pitchFamily="2" charset="0"/>
          </a:endParaRPr>
        </a:p>
        <a:p>
          <a:endParaRPr lang="en-GB" sz="2500" b="0" baseline="0">
            <a:solidFill>
              <a:schemeClr val="bg1"/>
            </a:solidFill>
            <a:latin typeface="Adihaus"/>
            <a:ea typeface="+mn-ea"/>
            <a:cs typeface="Aharoni" panose="020F0502020204030204" pitchFamily="2" charset="-79"/>
          </a:endParaRPr>
        </a:p>
        <a:p>
          <a:br>
            <a:rPr lang="en-GB" sz="5400">
              <a:solidFill>
                <a:schemeClr val="bg1"/>
              </a:solidFill>
            </a:rPr>
          </a:br>
          <a:endParaRPr lang="en-GB" sz="5000" b="0">
            <a:solidFill>
              <a:schemeClr val="bg1"/>
            </a:solidFill>
            <a:latin typeface="Adihaus"/>
            <a:cs typeface="Aharoni" panose="020F0502020204030204" pitchFamily="2" charset="-79"/>
          </a:endParaRPr>
        </a:p>
      </xdr:txBody>
    </xdr:sp>
    <xdr:clientData/>
  </xdr:twoCellAnchor>
  <xdr:twoCellAnchor>
    <xdr:from>
      <xdr:col>1</xdr:col>
      <xdr:colOff>470170</xdr:colOff>
      <xdr:row>60</xdr:row>
      <xdr:rowOff>32425</xdr:rowOff>
    </xdr:from>
    <xdr:to>
      <xdr:col>26</xdr:col>
      <xdr:colOff>64851</xdr:colOff>
      <xdr:row>60</xdr:row>
      <xdr:rowOff>32425</xdr:rowOff>
    </xdr:to>
    <xdr:cxnSp macro="">
      <xdr:nvCxnSpPr>
        <xdr:cNvPr id="5" name="Straight Connector 4">
          <a:extLst>
            <a:ext uri="{FF2B5EF4-FFF2-40B4-BE49-F238E27FC236}">
              <a16:creationId xmlns:a16="http://schemas.microsoft.com/office/drawing/2014/main" id="{7CECB978-BA9A-4461-8FCA-2D11E9677E53}"/>
            </a:ext>
          </a:extLst>
        </xdr:cNvPr>
        <xdr:cNvCxnSpPr/>
      </xdr:nvCxnSpPr>
      <xdr:spPr>
        <a:xfrm>
          <a:off x="1079770" y="11919625"/>
          <a:ext cx="14834681"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116222</xdr:colOff>
      <xdr:row>4</xdr:row>
      <xdr:rowOff>12439</xdr:rowOff>
    </xdr:from>
    <xdr:to>
      <xdr:col>2</xdr:col>
      <xdr:colOff>171346</xdr:colOff>
      <xdr:row>5</xdr:row>
      <xdr:rowOff>148568</xdr:rowOff>
    </xdr:to>
    <xdr:sp macro="" textlink="">
      <xdr:nvSpPr>
        <xdr:cNvPr id="6" name="TextBox 5">
          <a:hlinkClick xmlns:r="http://schemas.openxmlformats.org/officeDocument/2006/relationships" r:id="rId1"/>
          <a:extLst>
            <a:ext uri="{FF2B5EF4-FFF2-40B4-BE49-F238E27FC236}">
              <a16:creationId xmlns:a16="http://schemas.microsoft.com/office/drawing/2014/main" id="{40C7D65B-7472-4166-9824-1A62905D1055}"/>
            </a:ext>
          </a:extLst>
        </xdr:cNvPr>
        <xdr:cNvSpPr txBox="1"/>
      </xdr:nvSpPr>
      <xdr:spPr>
        <a:xfrm>
          <a:off x="725822" y="804919"/>
          <a:ext cx="664724" cy="33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MENU</a:t>
          </a:r>
          <a:endParaRPr lang="en-GB" sz="1500" b="1">
            <a:solidFill>
              <a:srgbClr val="FFFFFF"/>
            </a:solidFill>
            <a:latin typeface="Adihaus"/>
            <a:cs typeface="Aharoni" panose="020F0502020204030204" pitchFamily="2" charset="-79"/>
          </a:endParaRPr>
        </a:p>
      </xdr:txBody>
    </xdr:sp>
    <xdr:clientData/>
  </xdr:twoCellAnchor>
  <xdr:oneCellAnchor>
    <xdr:from>
      <xdr:col>20</xdr:col>
      <xdr:colOff>350600</xdr:colOff>
      <xdr:row>48</xdr:row>
      <xdr:rowOff>95569</xdr:rowOff>
    </xdr:from>
    <xdr:ext cx="3922483" cy="4095431"/>
    <xdr:pic>
      <xdr:nvPicPr>
        <xdr:cNvPr id="7" name="Picture 6" descr="Adidas Logo PNGs for Free Download">
          <a:extLst>
            <a:ext uri="{FF2B5EF4-FFF2-40B4-BE49-F238E27FC236}">
              <a16:creationId xmlns:a16="http://schemas.microsoft.com/office/drawing/2014/main" id="{63112326-6BF5-4353-8EA6-A76F108DA9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42600" y="9605329"/>
          <a:ext cx="3922483" cy="40954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456423</xdr:colOff>
      <xdr:row>3</xdr:row>
      <xdr:rowOff>157665</xdr:rowOff>
    </xdr:from>
    <xdr:to>
      <xdr:col>7</xdr:col>
      <xdr:colOff>601681</xdr:colOff>
      <xdr:row>5</xdr:row>
      <xdr:rowOff>96695</xdr:rowOff>
    </xdr:to>
    <xdr:sp macro="" textlink="">
      <xdr:nvSpPr>
        <xdr:cNvPr id="8" name="TextBox 7">
          <a:hlinkClick xmlns:r="http://schemas.openxmlformats.org/officeDocument/2006/relationships" r:id="rId3"/>
          <a:extLst>
            <a:ext uri="{FF2B5EF4-FFF2-40B4-BE49-F238E27FC236}">
              <a16:creationId xmlns:a16="http://schemas.microsoft.com/office/drawing/2014/main" id="{F52BA2F5-4D37-42B2-B8F1-3EC3A0059249}"/>
            </a:ext>
          </a:extLst>
        </xdr:cNvPr>
        <xdr:cNvSpPr txBox="1"/>
      </xdr:nvSpPr>
      <xdr:spPr>
        <a:xfrm>
          <a:off x="2894823" y="752025"/>
          <a:ext cx="1974058" cy="33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Profability analysis</a:t>
          </a:r>
          <a:endParaRPr lang="en-GB" sz="1500" b="1">
            <a:solidFill>
              <a:srgbClr val="FFFFFF"/>
            </a:solidFill>
            <a:latin typeface="Adihaus"/>
            <a:cs typeface="Aharoni" panose="020F0502020204030204" pitchFamily="2" charset="-79"/>
          </a:endParaRPr>
        </a:p>
      </xdr:txBody>
    </xdr:sp>
    <xdr:clientData/>
  </xdr:twoCellAnchor>
  <xdr:twoCellAnchor>
    <xdr:from>
      <xdr:col>8</xdr:col>
      <xdr:colOff>16009</xdr:colOff>
      <xdr:row>3</xdr:row>
      <xdr:rowOff>143099</xdr:rowOff>
    </xdr:from>
    <xdr:to>
      <xdr:col>11</xdr:col>
      <xdr:colOff>510341</xdr:colOff>
      <xdr:row>5</xdr:row>
      <xdr:rowOff>146158</xdr:rowOff>
    </xdr:to>
    <xdr:sp macro="" textlink="">
      <xdr:nvSpPr>
        <xdr:cNvPr id="9" name="TextBox 8">
          <a:hlinkClick xmlns:r="http://schemas.openxmlformats.org/officeDocument/2006/relationships" r:id="rId4"/>
          <a:extLst>
            <a:ext uri="{FF2B5EF4-FFF2-40B4-BE49-F238E27FC236}">
              <a16:creationId xmlns:a16="http://schemas.microsoft.com/office/drawing/2014/main" id="{599130D0-DCAC-4612-A4A1-D6D2E1F1D42F}"/>
            </a:ext>
          </a:extLst>
        </xdr:cNvPr>
        <xdr:cNvSpPr txBox="1"/>
      </xdr:nvSpPr>
      <xdr:spPr>
        <a:xfrm>
          <a:off x="4892809" y="737459"/>
          <a:ext cx="2323132" cy="39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Operating management</a:t>
          </a:r>
          <a:endParaRPr lang="en-GB" sz="1500" b="1">
            <a:solidFill>
              <a:srgbClr val="FFFFFF"/>
            </a:solidFill>
            <a:latin typeface="Adihaus"/>
            <a:cs typeface="Aharoni" panose="020F0502020204030204" pitchFamily="2" charset="-79"/>
          </a:endParaRPr>
        </a:p>
      </xdr:txBody>
    </xdr:sp>
    <xdr:clientData/>
  </xdr:twoCellAnchor>
  <xdr:twoCellAnchor>
    <xdr:from>
      <xdr:col>11</xdr:col>
      <xdr:colOff>304995</xdr:colOff>
      <xdr:row>3</xdr:row>
      <xdr:rowOff>140439</xdr:rowOff>
    </xdr:from>
    <xdr:to>
      <xdr:col>15</xdr:col>
      <xdr:colOff>70809</xdr:colOff>
      <xdr:row>5</xdr:row>
      <xdr:rowOff>57697</xdr:rowOff>
    </xdr:to>
    <xdr:sp macro="" textlink="">
      <xdr:nvSpPr>
        <xdr:cNvPr id="10" name="TextBox 9">
          <a:hlinkClick xmlns:r="http://schemas.openxmlformats.org/officeDocument/2006/relationships" r:id="rId5"/>
          <a:extLst>
            <a:ext uri="{FF2B5EF4-FFF2-40B4-BE49-F238E27FC236}">
              <a16:creationId xmlns:a16="http://schemas.microsoft.com/office/drawing/2014/main" id="{B1FEA546-FDFE-412E-81B2-A0558EADB335}"/>
            </a:ext>
          </a:extLst>
        </xdr:cNvPr>
        <xdr:cNvSpPr txBox="1"/>
      </xdr:nvSpPr>
      <xdr:spPr>
        <a:xfrm>
          <a:off x="7010595" y="734799"/>
          <a:ext cx="2204214" cy="313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Investment management</a:t>
          </a:r>
          <a:endParaRPr lang="en-GB" sz="1500" b="1">
            <a:solidFill>
              <a:srgbClr val="FFFFFF"/>
            </a:solidFill>
            <a:latin typeface="Adihaus"/>
            <a:cs typeface="Aharoni" panose="020F0502020204030204" pitchFamily="2" charset="-79"/>
          </a:endParaRPr>
        </a:p>
      </xdr:txBody>
    </xdr:sp>
    <xdr:clientData/>
  </xdr:twoCellAnchor>
  <xdr:twoCellAnchor>
    <xdr:from>
      <xdr:col>15</xdr:col>
      <xdr:colOff>122511</xdr:colOff>
      <xdr:row>3</xdr:row>
      <xdr:rowOff>149077</xdr:rowOff>
    </xdr:from>
    <xdr:to>
      <xdr:col>18</xdr:col>
      <xdr:colOff>257215</xdr:colOff>
      <xdr:row>5</xdr:row>
      <xdr:rowOff>71551</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38276268-2681-4EF0-AC39-BF2D4AF9B961}"/>
            </a:ext>
          </a:extLst>
        </xdr:cNvPr>
        <xdr:cNvSpPr txBox="1"/>
      </xdr:nvSpPr>
      <xdr:spPr>
        <a:xfrm>
          <a:off x="9266511" y="743437"/>
          <a:ext cx="1963504" cy="31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Financial management</a:t>
          </a:r>
          <a:endParaRPr lang="en-GB" sz="1500" b="1">
            <a:solidFill>
              <a:srgbClr val="FFFFFF"/>
            </a:solidFill>
            <a:latin typeface="Adihaus"/>
            <a:cs typeface="Aharoni" panose="020F0502020204030204" pitchFamily="2" charset="-79"/>
          </a:endParaRPr>
        </a:p>
      </xdr:txBody>
    </xdr:sp>
    <xdr:clientData/>
  </xdr:twoCellAnchor>
  <xdr:twoCellAnchor>
    <xdr:from>
      <xdr:col>18</xdr:col>
      <xdr:colOff>230223</xdr:colOff>
      <xdr:row>3</xdr:row>
      <xdr:rowOff>148869</xdr:rowOff>
    </xdr:from>
    <xdr:to>
      <xdr:col>23</xdr:col>
      <xdr:colOff>176429</xdr:colOff>
      <xdr:row>5</xdr:row>
      <xdr:rowOff>94008</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357ABDD7-C071-460C-9403-13F155F7BA9C}"/>
            </a:ext>
          </a:extLst>
        </xdr:cNvPr>
        <xdr:cNvSpPr txBox="1"/>
      </xdr:nvSpPr>
      <xdr:spPr>
        <a:xfrm>
          <a:off x="11203023" y="743229"/>
          <a:ext cx="2994206" cy="341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Ratio for investors/shareholders</a:t>
          </a:r>
          <a:endParaRPr lang="en-GB" sz="1500" b="1">
            <a:solidFill>
              <a:srgbClr val="FFFFFF"/>
            </a:solidFill>
            <a:latin typeface="Adihaus"/>
            <a:cs typeface="Aharoni" panose="020F0502020204030204" pitchFamily="2" charset="-79"/>
          </a:endParaRPr>
        </a:p>
      </xdr:txBody>
    </xdr:sp>
    <xdr:clientData/>
  </xdr:twoCellAnchor>
  <xdr:twoCellAnchor>
    <xdr:from>
      <xdr:col>23</xdr:col>
      <xdr:colOff>560821</xdr:colOff>
      <xdr:row>3</xdr:row>
      <xdr:rowOff>145622</xdr:rowOff>
    </xdr:from>
    <xdr:to>
      <xdr:col>27</xdr:col>
      <xdr:colOff>102944</xdr:colOff>
      <xdr:row>5</xdr:row>
      <xdr:rowOff>87652</xdr:rowOff>
    </xdr:to>
    <xdr:sp macro="" textlink="">
      <xdr:nvSpPr>
        <xdr:cNvPr id="13" name="TextBox 12">
          <a:hlinkClick xmlns:r="http://schemas.openxmlformats.org/officeDocument/2006/relationships" r:id="rId8"/>
          <a:extLst>
            <a:ext uri="{FF2B5EF4-FFF2-40B4-BE49-F238E27FC236}">
              <a16:creationId xmlns:a16="http://schemas.microsoft.com/office/drawing/2014/main" id="{F4EC033D-6A66-4E35-AC70-45A171B74310}"/>
            </a:ext>
          </a:extLst>
        </xdr:cNvPr>
        <xdr:cNvSpPr txBox="1"/>
      </xdr:nvSpPr>
      <xdr:spPr>
        <a:xfrm>
          <a:off x="14581621" y="739982"/>
          <a:ext cx="1980523" cy="338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fINANCIAL STATEMENTS</a:t>
          </a:r>
          <a:endParaRPr lang="en-GB" sz="1500" b="1">
            <a:solidFill>
              <a:srgbClr val="FFFFFF"/>
            </a:solidFill>
            <a:latin typeface="Adihaus"/>
            <a:cs typeface="Aharoni" panose="020F0502020204030204" pitchFamily="2" charset="-79"/>
          </a:endParaRPr>
        </a:p>
      </xdr:txBody>
    </xdr:sp>
    <xdr:clientData/>
  </xdr:twoCellAnchor>
  <xdr:twoCellAnchor>
    <xdr:from>
      <xdr:col>23</xdr:col>
      <xdr:colOff>64471</xdr:colOff>
      <xdr:row>3</xdr:row>
      <xdr:rowOff>130817</xdr:rowOff>
    </xdr:from>
    <xdr:to>
      <xdr:col>23</xdr:col>
      <xdr:colOff>541994</xdr:colOff>
      <xdr:row>5</xdr:row>
      <xdr:rowOff>75357</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7EA9F4B5-46FE-4EC7-BB57-BE623BB81662}"/>
            </a:ext>
          </a:extLst>
        </xdr:cNvPr>
        <xdr:cNvSpPr txBox="1"/>
      </xdr:nvSpPr>
      <xdr:spPr>
        <a:xfrm>
          <a:off x="14085271" y="725177"/>
          <a:ext cx="477523" cy="340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cs typeface="+mn-cs"/>
            </a:rPr>
            <a:t>SFS</a:t>
          </a:r>
          <a:endParaRPr lang="en-GB" sz="1500" b="1">
            <a:solidFill>
              <a:srgbClr val="FFFFFF"/>
            </a:solidFill>
            <a:latin typeface="Adihaus"/>
            <a:cs typeface="Aharoni" panose="020F0502020204030204" pitchFamily="2" charset="-79"/>
          </a:endParaRPr>
        </a:p>
      </xdr:txBody>
    </xdr:sp>
    <xdr:clientData/>
  </xdr:twoCellAnchor>
  <xdr:twoCellAnchor>
    <xdr:from>
      <xdr:col>2</xdr:col>
      <xdr:colOff>275447</xdr:colOff>
      <xdr:row>4</xdr:row>
      <xdr:rowOff>504</xdr:rowOff>
    </xdr:from>
    <xdr:to>
      <xdr:col>5</xdr:col>
      <xdr:colOff>420705</xdr:colOff>
      <xdr:row>5</xdr:row>
      <xdr:rowOff>118128</xdr:rowOff>
    </xdr:to>
    <xdr:sp macro="" textlink="">
      <xdr:nvSpPr>
        <xdr:cNvPr id="16" name="TextBox 15">
          <a:hlinkClick xmlns:r="http://schemas.openxmlformats.org/officeDocument/2006/relationships" r:id="rId10"/>
          <a:extLst>
            <a:ext uri="{FF2B5EF4-FFF2-40B4-BE49-F238E27FC236}">
              <a16:creationId xmlns:a16="http://schemas.microsoft.com/office/drawing/2014/main" id="{A4F3D34E-DB77-4AC9-A6B0-A39C4F247474}"/>
            </a:ext>
          </a:extLst>
        </xdr:cNvPr>
        <xdr:cNvSpPr txBox="1"/>
      </xdr:nvSpPr>
      <xdr:spPr>
        <a:xfrm>
          <a:off x="1494647" y="792984"/>
          <a:ext cx="1974058" cy="31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rgbClr val="FFFFFF"/>
              </a:solidFill>
              <a:effectLst/>
              <a:latin typeface="Barlow Condensed" panose="00000506000000000000" pitchFamily="2" charset="0"/>
            </a:rPr>
            <a:t>PERFORMANCE</a:t>
          </a:r>
          <a:endParaRPr lang="en-GB" sz="1500" b="1">
            <a:solidFill>
              <a:srgbClr val="FFFFFF"/>
            </a:solidFill>
            <a:latin typeface="Adihaus"/>
            <a:cs typeface="Aharoni" panose="020F0502020204030204" pitchFamily="2"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80986</xdr:colOff>
      <xdr:row>3</xdr:row>
      <xdr:rowOff>63758</xdr:rowOff>
    </xdr:from>
    <xdr:to>
      <xdr:col>8</xdr:col>
      <xdr:colOff>252169</xdr:colOff>
      <xdr:row>8</xdr:row>
      <xdr:rowOff>143969</xdr:rowOff>
    </xdr:to>
    <xdr:sp macro="" textlink="">
      <xdr:nvSpPr>
        <xdr:cNvPr id="2" name="TextBox 1">
          <a:extLst>
            <a:ext uri="{FF2B5EF4-FFF2-40B4-BE49-F238E27FC236}">
              <a16:creationId xmlns:a16="http://schemas.microsoft.com/office/drawing/2014/main" id="{CF4F425F-85D6-434C-8588-CE7747B61704}"/>
            </a:ext>
          </a:extLst>
        </xdr:cNvPr>
        <xdr:cNvSpPr txBox="1"/>
      </xdr:nvSpPr>
      <xdr:spPr>
        <a:xfrm>
          <a:off x="1286009" y="595386"/>
          <a:ext cx="3786253" cy="96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PERFORMANCE</a:t>
          </a:r>
        </a:p>
      </xdr:txBody>
    </xdr:sp>
    <xdr:clientData/>
  </xdr:twoCellAnchor>
  <xdr:twoCellAnchor>
    <xdr:from>
      <xdr:col>7</xdr:col>
      <xdr:colOff>324970</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FE42B06C-FE6D-4709-BA39-011699DC1AD9}"/>
            </a:ext>
          </a:extLst>
        </xdr:cNvPr>
        <xdr:cNvCxnSpPr/>
      </xdr:nvCxnSpPr>
      <xdr:spPr>
        <a:xfrm>
          <a:off x="4564816" y="1268828"/>
          <a:ext cx="11749799"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5" name="TextBox 4">
          <a:extLst>
            <a:ext uri="{FF2B5EF4-FFF2-40B4-BE49-F238E27FC236}">
              <a16:creationId xmlns:a16="http://schemas.microsoft.com/office/drawing/2014/main" id="{3D183697-78CB-4706-BCA3-14A538D73AC4}"/>
            </a:ext>
          </a:extLst>
        </xdr:cNvPr>
        <xdr:cNvSpPr txBox="1"/>
      </xdr:nvSpPr>
      <xdr:spPr>
        <a:xfrm>
          <a:off x="838157" y="896908"/>
          <a:ext cx="490098" cy="44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01</a:t>
          </a:r>
          <a:endParaRPr lang="en-GB" sz="2000" b="0">
            <a:solidFill>
              <a:schemeClr val="bg1"/>
            </a:solidFill>
            <a:latin typeface="Adihaus"/>
            <a:cs typeface="Aharoni" panose="020F0502020204030204" pitchFamily="2" charset="-79"/>
          </a:endParaRPr>
        </a:p>
      </xdr:txBody>
    </xdr:sp>
    <xdr:clientData/>
  </xdr:twoCellAnchor>
  <xdr:twoCellAnchor>
    <xdr:from>
      <xdr:col>1</xdr:col>
      <xdr:colOff>228600</xdr:colOff>
      <xdr:row>0</xdr:row>
      <xdr:rowOff>147302</xdr:rowOff>
    </xdr:from>
    <xdr:to>
      <xdr:col>2</xdr:col>
      <xdr:colOff>281343</xdr:colOff>
      <xdr:row>2</xdr:row>
      <xdr:rowOff>91911</xdr:rowOff>
    </xdr:to>
    <xdr:sp macro="" textlink="">
      <xdr:nvSpPr>
        <xdr:cNvPr id="4" name="TextBox 3">
          <a:hlinkClick xmlns:r="http://schemas.openxmlformats.org/officeDocument/2006/relationships" r:id="rId1"/>
          <a:extLst>
            <a:ext uri="{FF2B5EF4-FFF2-40B4-BE49-F238E27FC236}">
              <a16:creationId xmlns:a16="http://schemas.microsoft.com/office/drawing/2014/main" id="{B5A0EBCE-0EE9-4407-B9F1-24AA3E2BC86F}"/>
            </a:ext>
          </a:extLst>
        </xdr:cNvPr>
        <xdr:cNvSpPr txBox="1"/>
      </xdr:nvSpPr>
      <xdr:spPr>
        <a:xfrm>
          <a:off x="838200" y="147302"/>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561657</xdr:colOff>
      <xdr:row>0</xdr:row>
      <xdr:rowOff>113934</xdr:rowOff>
    </xdr:from>
    <xdr:to>
      <xdr:col>8</xdr:col>
      <xdr:colOff>90171</xdr:colOff>
      <xdr:row>2</xdr:row>
      <xdr:rowOff>40038</xdr:rowOff>
    </xdr:to>
    <xdr:sp macro="" textlink="">
      <xdr:nvSpPr>
        <xdr:cNvPr id="6" name="TextBox 5">
          <a:hlinkClick xmlns:r="http://schemas.openxmlformats.org/officeDocument/2006/relationships" r:id="rId2"/>
          <a:extLst>
            <a:ext uri="{FF2B5EF4-FFF2-40B4-BE49-F238E27FC236}">
              <a16:creationId xmlns:a16="http://schemas.microsoft.com/office/drawing/2014/main" id="{5422D1E4-2D5F-498C-A316-B2C3EFB58481}"/>
            </a:ext>
          </a:extLst>
        </xdr:cNvPr>
        <xdr:cNvSpPr txBox="1"/>
      </xdr:nvSpPr>
      <xdr:spPr>
        <a:xfrm>
          <a:off x="3000057" y="113934"/>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8</xdr:col>
      <xdr:colOff>111718</xdr:colOff>
      <xdr:row>0</xdr:row>
      <xdr:rowOff>99368</xdr:rowOff>
    </xdr:from>
    <xdr:to>
      <xdr:col>11</xdr:col>
      <xdr:colOff>598906</xdr:colOff>
      <xdr:row>2</xdr:row>
      <xdr:rowOff>89501</xdr:rowOff>
    </xdr:to>
    <xdr:sp macro="" textlink="">
      <xdr:nvSpPr>
        <xdr:cNvPr id="7" name="TextBox 6">
          <a:hlinkClick xmlns:r="http://schemas.openxmlformats.org/officeDocument/2006/relationships" r:id="rId3"/>
          <a:extLst>
            <a:ext uri="{FF2B5EF4-FFF2-40B4-BE49-F238E27FC236}">
              <a16:creationId xmlns:a16="http://schemas.microsoft.com/office/drawing/2014/main" id="{19EF12B2-5ED8-4087-9FF1-1F177DDE898C}"/>
            </a:ext>
          </a:extLst>
        </xdr:cNvPr>
        <xdr:cNvSpPr txBox="1"/>
      </xdr:nvSpPr>
      <xdr:spPr>
        <a:xfrm>
          <a:off x="4988518" y="99368"/>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393560</xdr:colOff>
      <xdr:row>0</xdr:row>
      <xdr:rowOff>96708</xdr:rowOff>
    </xdr:from>
    <xdr:to>
      <xdr:col>15</xdr:col>
      <xdr:colOff>149849</xdr:colOff>
      <xdr:row>2</xdr:row>
      <xdr:rowOff>1040</xdr:rowOff>
    </xdr:to>
    <xdr:sp macro="" textlink="">
      <xdr:nvSpPr>
        <xdr:cNvPr id="8" name="TextBox 7">
          <a:hlinkClick xmlns:r="http://schemas.openxmlformats.org/officeDocument/2006/relationships" r:id="rId4"/>
          <a:extLst>
            <a:ext uri="{FF2B5EF4-FFF2-40B4-BE49-F238E27FC236}">
              <a16:creationId xmlns:a16="http://schemas.microsoft.com/office/drawing/2014/main" id="{A0357AA0-D193-41BD-BEE8-786A58572BA1}"/>
            </a:ext>
          </a:extLst>
        </xdr:cNvPr>
        <xdr:cNvSpPr txBox="1"/>
      </xdr:nvSpPr>
      <xdr:spPr>
        <a:xfrm>
          <a:off x="7099160" y="96708"/>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15</xdr:col>
      <xdr:colOff>201551</xdr:colOff>
      <xdr:row>0</xdr:row>
      <xdr:rowOff>105346</xdr:rowOff>
    </xdr:from>
    <xdr:to>
      <xdr:col>18</xdr:col>
      <xdr:colOff>329112</xdr:colOff>
      <xdr:row>2</xdr:row>
      <xdr:rowOff>14894</xdr:rowOff>
    </xdr:to>
    <xdr:sp macro="" textlink="">
      <xdr:nvSpPr>
        <xdr:cNvPr id="9" name="TextBox 8">
          <a:hlinkClick xmlns:r="http://schemas.openxmlformats.org/officeDocument/2006/relationships" r:id="rId5"/>
          <a:extLst>
            <a:ext uri="{FF2B5EF4-FFF2-40B4-BE49-F238E27FC236}">
              <a16:creationId xmlns:a16="http://schemas.microsoft.com/office/drawing/2014/main" id="{79CE223C-E194-4902-BC28-C7CE6F7594E0}"/>
            </a:ext>
          </a:extLst>
        </xdr:cNvPr>
        <xdr:cNvSpPr txBox="1"/>
      </xdr:nvSpPr>
      <xdr:spPr>
        <a:xfrm>
          <a:off x="9345551" y="105346"/>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302120</xdr:colOff>
      <xdr:row>0</xdr:row>
      <xdr:rowOff>105138</xdr:rowOff>
    </xdr:from>
    <xdr:to>
      <xdr:col>23</xdr:col>
      <xdr:colOff>236419</xdr:colOff>
      <xdr:row>2</xdr:row>
      <xdr:rowOff>37351</xdr:rowOff>
    </xdr:to>
    <xdr:sp macro="" textlink="">
      <xdr:nvSpPr>
        <xdr:cNvPr id="10" name="TextBox 9">
          <a:hlinkClick xmlns:r="http://schemas.openxmlformats.org/officeDocument/2006/relationships" r:id="rId6"/>
          <a:extLst>
            <a:ext uri="{FF2B5EF4-FFF2-40B4-BE49-F238E27FC236}">
              <a16:creationId xmlns:a16="http://schemas.microsoft.com/office/drawing/2014/main" id="{B8CF34BE-8C69-4F70-90C3-9FFA6A3CCF2F}"/>
            </a:ext>
          </a:extLst>
        </xdr:cNvPr>
        <xdr:cNvSpPr txBox="1"/>
      </xdr:nvSpPr>
      <xdr:spPr>
        <a:xfrm>
          <a:off x="11274920" y="105138"/>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24</xdr:col>
      <xdr:colOff>11211</xdr:colOff>
      <xdr:row>0</xdr:row>
      <xdr:rowOff>101891</xdr:rowOff>
    </xdr:from>
    <xdr:to>
      <xdr:col>27</xdr:col>
      <xdr:colOff>153409</xdr:colOff>
      <xdr:row>2</xdr:row>
      <xdr:rowOff>30995</xdr:rowOff>
    </xdr:to>
    <xdr:sp macro="" textlink="">
      <xdr:nvSpPr>
        <xdr:cNvPr id="11" name="TextBox 10">
          <a:hlinkClick xmlns:r="http://schemas.openxmlformats.org/officeDocument/2006/relationships" r:id="rId7"/>
          <a:extLst>
            <a:ext uri="{FF2B5EF4-FFF2-40B4-BE49-F238E27FC236}">
              <a16:creationId xmlns:a16="http://schemas.microsoft.com/office/drawing/2014/main" id="{7A6CAEEC-F01F-43AC-9B0B-8D16D4C8EAE3}"/>
            </a:ext>
          </a:extLst>
        </xdr:cNvPr>
        <xdr:cNvSpPr txBox="1"/>
      </xdr:nvSpPr>
      <xdr:spPr>
        <a:xfrm>
          <a:off x="14641611" y="101891"/>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124461</xdr:colOff>
      <xdr:row>0</xdr:row>
      <xdr:rowOff>87086</xdr:rowOff>
    </xdr:from>
    <xdr:to>
      <xdr:col>23</xdr:col>
      <xdr:colOff>601984</xdr:colOff>
      <xdr:row>2</xdr:row>
      <xdr:rowOff>18700</xdr:rowOff>
    </xdr:to>
    <xdr:sp macro="" textlink="">
      <xdr:nvSpPr>
        <xdr:cNvPr id="12" name="TextBox 11">
          <a:hlinkClick xmlns:r="http://schemas.openxmlformats.org/officeDocument/2006/relationships" r:id="rId8"/>
          <a:extLst>
            <a:ext uri="{FF2B5EF4-FFF2-40B4-BE49-F238E27FC236}">
              <a16:creationId xmlns:a16="http://schemas.microsoft.com/office/drawing/2014/main" id="{0D5A0A2E-6E58-46BA-BEF4-760EDEB7B315}"/>
            </a:ext>
          </a:extLst>
        </xdr:cNvPr>
        <xdr:cNvSpPr txBox="1"/>
      </xdr:nvSpPr>
      <xdr:spPr>
        <a:xfrm>
          <a:off x="14145261" y="87086"/>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385444</xdr:colOff>
      <xdr:row>0</xdr:row>
      <xdr:rowOff>135367</xdr:rowOff>
    </xdr:from>
    <xdr:to>
      <xdr:col>5</xdr:col>
      <xdr:colOff>523558</xdr:colOff>
      <xdr:row>2</xdr:row>
      <xdr:rowOff>61471</xdr:rowOff>
    </xdr:to>
    <xdr:sp macro="" textlink="">
      <xdr:nvSpPr>
        <xdr:cNvPr id="13" name="TextBox 12">
          <a:hlinkClick xmlns:r="http://schemas.openxmlformats.org/officeDocument/2006/relationships" r:id="rId9"/>
          <a:extLst>
            <a:ext uri="{FF2B5EF4-FFF2-40B4-BE49-F238E27FC236}">
              <a16:creationId xmlns:a16="http://schemas.microsoft.com/office/drawing/2014/main" id="{3E8A37C6-1722-43F9-B6A3-DF033995EB86}"/>
            </a:ext>
          </a:extLst>
        </xdr:cNvPr>
        <xdr:cNvSpPr txBox="1"/>
      </xdr:nvSpPr>
      <xdr:spPr>
        <a:xfrm>
          <a:off x="1604644" y="135367"/>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306124</xdr:colOff>
      <xdr:row>47</xdr:row>
      <xdr:rowOff>255780</xdr:rowOff>
    </xdr:from>
    <xdr:to>
      <xdr:col>23</xdr:col>
      <xdr:colOff>514865</xdr:colOff>
      <xdr:row>64</xdr:row>
      <xdr:rowOff>20593</xdr:rowOff>
    </xdr:to>
    <xdr:graphicFrame macro="">
      <xdr:nvGraphicFramePr>
        <xdr:cNvPr id="15" name="Chart 14">
          <a:extLst>
            <a:ext uri="{FF2B5EF4-FFF2-40B4-BE49-F238E27FC236}">
              <a16:creationId xmlns:a16="http://schemas.microsoft.com/office/drawing/2014/main" id="{793F71EB-94D3-6E26-EBFC-33D449764152}"/>
            </a:ext>
            <a:ext uri="{147F2762-F138-4A5C-976F-8EAC2B608ADB}">
              <a16:predDERef xmlns:a16="http://schemas.microsoft.com/office/drawing/2014/main" pred="{3E8A37C6-1722-43F9-B6A3-DF033995E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500742</xdr:colOff>
      <xdr:row>65</xdr:row>
      <xdr:rowOff>108858</xdr:rowOff>
    </xdr:from>
    <xdr:to>
      <xdr:col>18</xdr:col>
      <xdr:colOff>279760</xdr:colOff>
      <xdr:row>67</xdr:row>
      <xdr:rowOff>39370</xdr:rowOff>
    </xdr:to>
    <xdr:sp macro="" textlink="">
      <xdr:nvSpPr>
        <xdr:cNvPr id="14" name="TextBox 16">
          <a:extLst>
            <a:ext uri="{FF2B5EF4-FFF2-40B4-BE49-F238E27FC236}">
              <a16:creationId xmlns:a16="http://schemas.microsoft.com/office/drawing/2014/main" id="{A614215E-33D3-48E4-8D19-D8FC5D6ED088}"/>
            </a:ext>
          </a:extLst>
        </xdr:cNvPr>
        <xdr:cNvSpPr txBox="1"/>
      </xdr:nvSpPr>
      <xdr:spPr>
        <a:xfrm>
          <a:off x="7815942" y="17308287"/>
          <a:ext cx="3436618" cy="49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KEY TAKEWAYS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80986</xdr:colOff>
      <xdr:row>3</xdr:row>
      <xdr:rowOff>63758</xdr:rowOff>
    </xdr:from>
    <xdr:to>
      <xdr:col>8</xdr:col>
      <xdr:colOff>252169</xdr:colOff>
      <xdr:row>8</xdr:row>
      <xdr:rowOff>143969</xdr:rowOff>
    </xdr:to>
    <xdr:sp macro="" textlink="">
      <xdr:nvSpPr>
        <xdr:cNvPr id="2" name="TextBox 1">
          <a:extLst>
            <a:ext uri="{FF2B5EF4-FFF2-40B4-BE49-F238E27FC236}">
              <a16:creationId xmlns:a16="http://schemas.microsoft.com/office/drawing/2014/main" id="{4D3955A5-12E1-4BA3-8690-D9018230CEC6}"/>
            </a:ext>
          </a:extLst>
        </xdr:cNvPr>
        <xdr:cNvSpPr txBox="1"/>
      </xdr:nvSpPr>
      <xdr:spPr>
        <a:xfrm>
          <a:off x="1300186" y="612398"/>
          <a:ext cx="3828783" cy="99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PROFITABILITY</a:t>
          </a:r>
        </a:p>
      </xdr:txBody>
    </xdr:sp>
    <xdr:clientData/>
  </xdr:twoCellAnchor>
  <xdr:twoCellAnchor>
    <xdr:from>
      <xdr:col>7</xdr:col>
      <xdr:colOff>324970</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EAD504C0-B722-463B-9F25-9FB4058D9244}"/>
            </a:ext>
          </a:extLst>
        </xdr:cNvPr>
        <xdr:cNvCxnSpPr/>
      </xdr:nvCxnSpPr>
      <xdr:spPr>
        <a:xfrm>
          <a:off x="4592170" y="1252416"/>
          <a:ext cx="11824045"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5C4B0DE1-9619-4B19-B4BB-0F82C76FFEFC}"/>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02</a:t>
          </a:r>
        </a:p>
      </xdr:txBody>
    </xdr:sp>
    <xdr:clientData/>
  </xdr:twoCellAnchor>
  <xdr:twoCellAnchor>
    <xdr:from>
      <xdr:col>2</xdr:col>
      <xdr:colOff>381000</xdr:colOff>
      <xdr:row>26</xdr:row>
      <xdr:rowOff>152399</xdr:rowOff>
    </xdr:from>
    <xdr:to>
      <xdr:col>12</xdr:col>
      <xdr:colOff>338666</xdr:colOff>
      <xdr:row>37</xdr:row>
      <xdr:rowOff>126999</xdr:rowOff>
    </xdr:to>
    <xdr:graphicFrame macro="">
      <xdr:nvGraphicFramePr>
        <xdr:cNvPr id="5" name="Chart 4">
          <a:extLst>
            <a:ext uri="{FF2B5EF4-FFF2-40B4-BE49-F238E27FC236}">
              <a16:creationId xmlns:a16="http://schemas.microsoft.com/office/drawing/2014/main" id="{8081929E-13A5-4AB3-B644-09678EA9564B}"/>
            </a:ext>
            <a:ext uri="{147F2762-F138-4A5C-976F-8EAC2B608ADB}">
              <a16:predDERef xmlns:a16="http://schemas.microsoft.com/office/drawing/2014/main" pred="{5C4B0DE1-9619-4B19-B4BB-0F82C76FF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6" name="Chart 5">
          <a:extLst>
            <a:ext uri="{FF2B5EF4-FFF2-40B4-BE49-F238E27FC236}">
              <a16:creationId xmlns:a16="http://schemas.microsoft.com/office/drawing/2014/main" id="{D35EFFBB-9A04-45F5-8CEB-9254C4C17BF9}"/>
            </a:ext>
            <a:ext uri="{147F2762-F138-4A5C-976F-8EAC2B608ADB}">
              <a16:predDERef xmlns:a16="http://schemas.microsoft.com/office/drawing/2014/main" pred="{8081929E-13A5-4AB3-B644-09678EA95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348074</xdr:colOff>
      <xdr:row>54</xdr:row>
      <xdr:rowOff>178741</xdr:rowOff>
    </xdr:from>
    <xdr:to>
      <xdr:col>25</xdr:col>
      <xdr:colOff>305740</xdr:colOff>
      <xdr:row>65</xdr:row>
      <xdr:rowOff>153341</xdr:rowOff>
    </xdr:to>
    <xdr:graphicFrame macro="">
      <xdr:nvGraphicFramePr>
        <xdr:cNvPr id="7" name="Chart 6">
          <a:extLst>
            <a:ext uri="{FF2B5EF4-FFF2-40B4-BE49-F238E27FC236}">
              <a16:creationId xmlns:a16="http://schemas.microsoft.com/office/drawing/2014/main" id="{9280C0A2-9572-4517-ADC5-3573EEE861AB}"/>
            </a:ext>
            <a:ext uri="{147F2762-F138-4A5C-976F-8EAC2B608ADB}">
              <a16:predDERef xmlns:a16="http://schemas.microsoft.com/office/drawing/2014/main" pred="{D35EFFBB-9A04-45F5-8CEB-9254C4C17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294640</xdr:colOff>
      <xdr:row>54</xdr:row>
      <xdr:rowOff>264160</xdr:rowOff>
    </xdr:from>
    <xdr:to>
      <xdr:col>12</xdr:col>
      <xdr:colOff>252306</xdr:colOff>
      <xdr:row>64</xdr:row>
      <xdr:rowOff>154940</xdr:rowOff>
    </xdr:to>
    <xdr:graphicFrame macro="">
      <xdr:nvGraphicFramePr>
        <xdr:cNvPr id="8" name="Chart 7">
          <a:extLst>
            <a:ext uri="{FF2B5EF4-FFF2-40B4-BE49-F238E27FC236}">
              <a16:creationId xmlns:a16="http://schemas.microsoft.com/office/drawing/2014/main" id="{BD0F3C01-5B5A-4AFB-B0FB-B2EC6BBE7554}"/>
            </a:ext>
            <a:ext uri="{147F2762-F138-4A5C-976F-8EAC2B608ADB}">
              <a16:predDERef xmlns:a16="http://schemas.microsoft.com/office/drawing/2014/main" pred="{9280C0A2-9572-4517-ADC5-3573EEE86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499434</xdr:colOff>
      <xdr:row>8</xdr:row>
      <xdr:rowOff>49162</xdr:rowOff>
    </xdr:from>
    <xdr:to>
      <xdr:col>17</xdr:col>
      <xdr:colOff>293106</xdr:colOff>
      <xdr:row>10</xdr:row>
      <xdr:rowOff>135424</xdr:rowOff>
    </xdr:to>
    <xdr:sp macro="" textlink="">
      <xdr:nvSpPr>
        <xdr:cNvPr id="9" name="TextBox 8">
          <a:extLst>
            <a:ext uri="{FF2B5EF4-FFF2-40B4-BE49-F238E27FC236}">
              <a16:creationId xmlns:a16="http://schemas.microsoft.com/office/drawing/2014/main" id="{5AE96B88-F9D2-478A-B09F-DE1EBFB5EA58}"/>
            </a:ext>
          </a:extLst>
        </xdr:cNvPr>
        <xdr:cNvSpPr txBox="1"/>
      </xdr:nvSpPr>
      <xdr:spPr>
        <a:xfrm>
          <a:off x="7230434" y="1526980"/>
          <a:ext cx="3465127" cy="45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wORKING CAPITAL MANAGEMENT</a:t>
          </a:r>
        </a:p>
      </xdr:txBody>
    </xdr:sp>
    <xdr:clientData/>
  </xdr:twoCellAnchor>
  <xdr:twoCellAnchor>
    <xdr:from>
      <xdr:col>1</xdr:col>
      <xdr:colOff>101600</xdr:colOff>
      <xdr:row>1</xdr:row>
      <xdr:rowOff>77149</xdr:rowOff>
    </xdr:from>
    <xdr:to>
      <xdr:col>2</xdr:col>
      <xdr:colOff>154343</xdr:colOff>
      <xdr:row>3</xdr:row>
      <xdr:rowOff>19339</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071F0AB2-EB82-4C86-810A-BAE6AADCAE2A}"/>
            </a:ext>
          </a:extLst>
        </xdr:cNvPr>
        <xdr:cNvSpPr txBox="1"/>
      </xdr:nvSpPr>
      <xdr:spPr>
        <a:xfrm>
          <a:off x="711200" y="263416"/>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434657</xdr:colOff>
      <xdr:row>1</xdr:row>
      <xdr:rowOff>43781</xdr:rowOff>
    </xdr:from>
    <xdr:to>
      <xdr:col>7</xdr:col>
      <xdr:colOff>572771</xdr:colOff>
      <xdr:row>2</xdr:row>
      <xdr:rowOff>153733</xdr:rowOff>
    </xdr:to>
    <xdr:sp macro="" textlink="">
      <xdr:nvSpPr>
        <xdr:cNvPr id="20" name="TextBox 19">
          <a:hlinkClick xmlns:r="http://schemas.openxmlformats.org/officeDocument/2006/relationships" r:id="rId6"/>
          <a:extLst>
            <a:ext uri="{FF2B5EF4-FFF2-40B4-BE49-F238E27FC236}">
              <a16:creationId xmlns:a16="http://schemas.microsoft.com/office/drawing/2014/main" id="{8FF51373-8F29-44D8-85AF-9BA904391000}"/>
            </a:ext>
          </a:extLst>
        </xdr:cNvPr>
        <xdr:cNvSpPr txBox="1"/>
      </xdr:nvSpPr>
      <xdr:spPr>
        <a:xfrm>
          <a:off x="2873057" y="230048"/>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594318</xdr:colOff>
      <xdr:row>1</xdr:row>
      <xdr:rowOff>29215</xdr:rowOff>
    </xdr:from>
    <xdr:to>
      <xdr:col>11</xdr:col>
      <xdr:colOff>471906</xdr:colOff>
      <xdr:row>3</xdr:row>
      <xdr:rowOff>16929</xdr:rowOff>
    </xdr:to>
    <xdr:sp macro="" textlink="">
      <xdr:nvSpPr>
        <xdr:cNvPr id="21" name="TextBox 20">
          <a:hlinkClick xmlns:r="http://schemas.openxmlformats.org/officeDocument/2006/relationships" r:id="rId7"/>
          <a:extLst>
            <a:ext uri="{FF2B5EF4-FFF2-40B4-BE49-F238E27FC236}">
              <a16:creationId xmlns:a16="http://schemas.microsoft.com/office/drawing/2014/main" id="{BA2D9F5C-3D41-42F0-A9F5-95DBF8A4E5AA}"/>
            </a:ext>
          </a:extLst>
        </xdr:cNvPr>
        <xdr:cNvSpPr txBox="1"/>
      </xdr:nvSpPr>
      <xdr:spPr>
        <a:xfrm>
          <a:off x="4861518" y="215482"/>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266560</xdr:colOff>
      <xdr:row>1</xdr:row>
      <xdr:rowOff>26555</xdr:rowOff>
    </xdr:from>
    <xdr:to>
      <xdr:col>15</xdr:col>
      <xdr:colOff>22849</xdr:colOff>
      <xdr:row>2</xdr:row>
      <xdr:rowOff>114735</xdr:rowOff>
    </xdr:to>
    <xdr:sp macro="" textlink="">
      <xdr:nvSpPr>
        <xdr:cNvPr id="22" name="TextBox 21">
          <a:hlinkClick xmlns:r="http://schemas.openxmlformats.org/officeDocument/2006/relationships" r:id="rId8"/>
          <a:extLst>
            <a:ext uri="{FF2B5EF4-FFF2-40B4-BE49-F238E27FC236}">
              <a16:creationId xmlns:a16="http://schemas.microsoft.com/office/drawing/2014/main" id="{530EE98B-DED4-4280-8D50-B80D47BDBE3D}"/>
            </a:ext>
          </a:extLst>
        </xdr:cNvPr>
        <xdr:cNvSpPr txBox="1"/>
      </xdr:nvSpPr>
      <xdr:spPr>
        <a:xfrm>
          <a:off x="6972160" y="212822"/>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15</xdr:col>
      <xdr:colOff>74551</xdr:colOff>
      <xdr:row>1</xdr:row>
      <xdr:rowOff>35193</xdr:rowOff>
    </xdr:from>
    <xdr:to>
      <xdr:col>18</xdr:col>
      <xdr:colOff>202112</xdr:colOff>
      <xdr:row>2</xdr:row>
      <xdr:rowOff>128589</xdr:rowOff>
    </xdr:to>
    <xdr:sp macro="" textlink="">
      <xdr:nvSpPr>
        <xdr:cNvPr id="23" name="TextBox 22">
          <a:hlinkClick xmlns:r="http://schemas.openxmlformats.org/officeDocument/2006/relationships" r:id="rId9"/>
          <a:extLst>
            <a:ext uri="{FF2B5EF4-FFF2-40B4-BE49-F238E27FC236}">
              <a16:creationId xmlns:a16="http://schemas.microsoft.com/office/drawing/2014/main" id="{4727DAA0-F5D4-4E6F-B8C2-8D5BA122CB12}"/>
            </a:ext>
          </a:extLst>
        </xdr:cNvPr>
        <xdr:cNvSpPr txBox="1"/>
      </xdr:nvSpPr>
      <xdr:spPr>
        <a:xfrm>
          <a:off x="9218551" y="221460"/>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175120</xdr:colOff>
      <xdr:row>1</xdr:row>
      <xdr:rowOff>34985</xdr:rowOff>
    </xdr:from>
    <xdr:to>
      <xdr:col>23</xdr:col>
      <xdr:colOff>109419</xdr:colOff>
      <xdr:row>2</xdr:row>
      <xdr:rowOff>151046</xdr:rowOff>
    </xdr:to>
    <xdr:sp macro="" textlink="">
      <xdr:nvSpPr>
        <xdr:cNvPr id="24" name="TextBox 23">
          <a:hlinkClick xmlns:r="http://schemas.openxmlformats.org/officeDocument/2006/relationships" r:id="rId10"/>
          <a:extLst>
            <a:ext uri="{FF2B5EF4-FFF2-40B4-BE49-F238E27FC236}">
              <a16:creationId xmlns:a16="http://schemas.microsoft.com/office/drawing/2014/main" id="{E82ACAB5-3402-407F-B01C-C1AAC67DC6A4}"/>
            </a:ext>
          </a:extLst>
        </xdr:cNvPr>
        <xdr:cNvSpPr txBox="1"/>
      </xdr:nvSpPr>
      <xdr:spPr>
        <a:xfrm>
          <a:off x="11147920" y="221252"/>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493811</xdr:colOff>
      <xdr:row>1</xdr:row>
      <xdr:rowOff>31738</xdr:rowOff>
    </xdr:from>
    <xdr:to>
      <xdr:col>27</xdr:col>
      <xdr:colOff>26409</xdr:colOff>
      <xdr:row>2</xdr:row>
      <xdr:rowOff>144690</xdr:rowOff>
    </xdr:to>
    <xdr:sp macro="" textlink="">
      <xdr:nvSpPr>
        <xdr:cNvPr id="25" name="TextBox 24">
          <a:hlinkClick xmlns:r="http://schemas.openxmlformats.org/officeDocument/2006/relationships" r:id="rId11"/>
          <a:extLst>
            <a:ext uri="{FF2B5EF4-FFF2-40B4-BE49-F238E27FC236}">
              <a16:creationId xmlns:a16="http://schemas.microsoft.com/office/drawing/2014/main" id="{5A8414D4-67F3-469C-9E69-0F6F8FCF1679}"/>
            </a:ext>
          </a:extLst>
        </xdr:cNvPr>
        <xdr:cNvSpPr txBox="1"/>
      </xdr:nvSpPr>
      <xdr:spPr>
        <a:xfrm>
          <a:off x="14514611" y="218005"/>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22</xdr:col>
      <xdr:colOff>607061</xdr:colOff>
      <xdr:row>1</xdr:row>
      <xdr:rowOff>16933</xdr:rowOff>
    </xdr:from>
    <xdr:to>
      <xdr:col>23</xdr:col>
      <xdr:colOff>474984</xdr:colOff>
      <xdr:row>2</xdr:row>
      <xdr:rowOff>132395</xdr:rowOff>
    </xdr:to>
    <xdr:sp macro="" textlink="">
      <xdr:nvSpPr>
        <xdr:cNvPr id="26" name="TextBox 25">
          <a:hlinkClick xmlns:r="http://schemas.openxmlformats.org/officeDocument/2006/relationships" r:id="rId12"/>
          <a:extLst>
            <a:ext uri="{FF2B5EF4-FFF2-40B4-BE49-F238E27FC236}">
              <a16:creationId xmlns:a16="http://schemas.microsoft.com/office/drawing/2014/main" id="{3042F11D-2585-4F38-90A4-484484D51D79}"/>
            </a:ext>
          </a:extLst>
        </xdr:cNvPr>
        <xdr:cNvSpPr txBox="1"/>
      </xdr:nvSpPr>
      <xdr:spPr>
        <a:xfrm>
          <a:off x="14018261" y="203200"/>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258444</xdr:colOff>
      <xdr:row>1</xdr:row>
      <xdr:rowOff>65214</xdr:rowOff>
    </xdr:from>
    <xdr:to>
      <xdr:col>5</xdr:col>
      <xdr:colOff>396558</xdr:colOff>
      <xdr:row>2</xdr:row>
      <xdr:rowOff>175166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22E660D7-800B-4B9E-B5F8-742CAE02F568}"/>
            </a:ext>
          </a:extLst>
        </xdr:cNvPr>
        <xdr:cNvSpPr txBox="1"/>
      </xdr:nvSpPr>
      <xdr:spPr>
        <a:xfrm>
          <a:off x="1477644" y="251481"/>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80985</xdr:colOff>
      <xdr:row>3</xdr:row>
      <xdr:rowOff>63758</xdr:rowOff>
    </xdr:from>
    <xdr:to>
      <xdr:col>11</xdr:col>
      <xdr:colOff>429846</xdr:colOff>
      <xdr:row>8</xdr:row>
      <xdr:rowOff>143969</xdr:rowOff>
    </xdr:to>
    <xdr:sp macro="" textlink="">
      <xdr:nvSpPr>
        <xdr:cNvPr id="2" name="TextBox 1">
          <a:extLst>
            <a:ext uri="{FF2B5EF4-FFF2-40B4-BE49-F238E27FC236}">
              <a16:creationId xmlns:a16="http://schemas.microsoft.com/office/drawing/2014/main" id="{6931900D-C0B0-49A6-85E3-917F3B634DC6}"/>
            </a:ext>
          </a:extLst>
        </xdr:cNvPr>
        <xdr:cNvSpPr txBox="1"/>
      </xdr:nvSpPr>
      <xdr:spPr>
        <a:xfrm>
          <a:off x="1292370" y="591296"/>
          <a:ext cx="5800091" cy="95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Investment management</a:t>
          </a:r>
        </a:p>
      </xdr:txBody>
    </xdr:sp>
    <xdr:clientData/>
  </xdr:twoCellAnchor>
  <xdr:twoCellAnchor>
    <xdr:from>
      <xdr:col>11</xdr:col>
      <xdr:colOff>351693</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2A9853A3-F58A-4887-B522-C2CCC111F945}"/>
            </a:ext>
          </a:extLst>
        </xdr:cNvPr>
        <xdr:cNvCxnSpPr/>
      </xdr:nvCxnSpPr>
      <xdr:spPr>
        <a:xfrm>
          <a:off x="7014308" y="1210213"/>
          <a:ext cx="9300307"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4BEF3904-E605-4D34-ABD8-FE63B166E0D8}"/>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03</a:t>
          </a:r>
        </a:p>
      </xdr:txBody>
    </xdr:sp>
    <xdr:clientData/>
  </xdr:twoCellAnchor>
  <xdr:twoCellAnchor>
    <xdr:from>
      <xdr:col>2</xdr:col>
      <xdr:colOff>381000</xdr:colOff>
      <xdr:row>26</xdr:row>
      <xdr:rowOff>152399</xdr:rowOff>
    </xdr:from>
    <xdr:to>
      <xdr:col>12</xdr:col>
      <xdr:colOff>338666</xdr:colOff>
      <xdr:row>37</xdr:row>
      <xdr:rowOff>126999</xdr:rowOff>
    </xdr:to>
    <xdr:graphicFrame macro="">
      <xdr:nvGraphicFramePr>
        <xdr:cNvPr id="5" name="Chart 4">
          <a:extLst>
            <a:ext uri="{FF2B5EF4-FFF2-40B4-BE49-F238E27FC236}">
              <a16:creationId xmlns:a16="http://schemas.microsoft.com/office/drawing/2014/main" id="{4C39BD6D-AEBE-44C5-A4FF-D09723EFC6DA}"/>
            </a:ext>
            <a:ext uri="{147F2762-F138-4A5C-976F-8EAC2B608ADB}">
              <a16:predDERef xmlns:a16="http://schemas.microsoft.com/office/drawing/2014/main" pred="{4BEF3904-E605-4D34-ABD8-FE63B166E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6" name="Chart 5">
          <a:extLst>
            <a:ext uri="{FF2B5EF4-FFF2-40B4-BE49-F238E27FC236}">
              <a16:creationId xmlns:a16="http://schemas.microsoft.com/office/drawing/2014/main" id="{E80627D1-6F3E-480B-B01B-11C6D98C95F7}"/>
            </a:ext>
            <a:ext uri="{147F2762-F138-4A5C-976F-8EAC2B608ADB}">
              <a16:predDERef xmlns:a16="http://schemas.microsoft.com/office/drawing/2014/main" pred="{4C39BD6D-AEBE-44C5-A4FF-D09723EFC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348074</xdr:colOff>
      <xdr:row>54</xdr:row>
      <xdr:rowOff>178741</xdr:rowOff>
    </xdr:from>
    <xdr:to>
      <xdr:col>25</xdr:col>
      <xdr:colOff>305740</xdr:colOff>
      <xdr:row>65</xdr:row>
      <xdr:rowOff>153341</xdr:rowOff>
    </xdr:to>
    <xdr:graphicFrame macro="">
      <xdr:nvGraphicFramePr>
        <xdr:cNvPr id="7" name="Chart 6">
          <a:extLst>
            <a:ext uri="{FF2B5EF4-FFF2-40B4-BE49-F238E27FC236}">
              <a16:creationId xmlns:a16="http://schemas.microsoft.com/office/drawing/2014/main" id="{4CBBE965-3DB0-4375-B5E4-8DFA74EAAD35}"/>
            </a:ext>
            <a:ext uri="{147F2762-F138-4A5C-976F-8EAC2B608ADB}">
              <a16:predDERef xmlns:a16="http://schemas.microsoft.com/office/drawing/2014/main" pred="{E80627D1-6F3E-480B-B01B-11C6D98C9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294640</xdr:colOff>
      <xdr:row>54</xdr:row>
      <xdr:rowOff>264160</xdr:rowOff>
    </xdr:from>
    <xdr:to>
      <xdr:col>12</xdr:col>
      <xdr:colOff>252306</xdr:colOff>
      <xdr:row>64</xdr:row>
      <xdr:rowOff>154940</xdr:rowOff>
    </xdr:to>
    <xdr:graphicFrame macro="">
      <xdr:nvGraphicFramePr>
        <xdr:cNvPr id="8" name="Chart 7">
          <a:extLst>
            <a:ext uri="{FF2B5EF4-FFF2-40B4-BE49-F238E27FC236}">
              <a16:creationId xmlns:a16="http://schemas.microsoft.com/office/drawing/2014/main" id="{826F2321-A434-4519-AFBA-DB8E2F0DEC7E}"/>
            </a:ext>
            <a:ext uri="{147F2762-F138-4A5C-976F-8EAC2B608ADB}">
              <a16:predDERef xmlns:a16="http://schemas.microsoft.com/office/drawing/2014/main" pred="{4CBBE965-3DB0-4375-B5E4-8DFA74EAA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449385</xdr:colOff>
      <xdr:row>8</xdr:row>
      <xdr:rowOff>39077</xdr:rowOff>
    </xdr:from>
    <xdr:to>
      <xdr:col>17</xdr:col>
      <xdr:colOff>266503</xdr:colOff>
      <xdr:row>10</xdr:row>
      <xdr:rowOff>154646</xdr:rowOff>
    </xdr:to>
    <xdr:sp macro="" textlink="">
      <xdr:nvSpPr>
        <xdr:cNvPr id="10" name="TextBox 9">
          <a:extLst>
            <a:ext uri="{FF2B5EF4-FFF2-40B4-BE49-F238E27FC236}">
              <a16:creationId xmlns:a16="http://schemas.microsoft.com/office/drawing/2014/main" id="{F7F8A013-80B0-4FB1-9AE9-A5DE59B9E4CE}"/>
            </a:ext>
          </a:extLst>
        </xdr:cNvPr>
        <xdr:cNvSpPr txBox="1"/>
      </xdr:nvSpPr>
      <xdr:spPr>
        <a:xfrm>
          <a:off x="7112000" y="1445846"/>
          <a:ext cx="3451272" cy="46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wORKING CAPITAL MANAGEMENT</a:t>
          </a:r>
        </a:p>
      </xdr:txBody>
    </xdr:sp>
    <xdr:clientData/>
  </xdr:twoCellAnchor>
  <xdr:twoCellAnchor>
    <xdr:from>
      <xdr:col>9</xdr:col>
      <xdr:colOff>348074</xdr:colOff>
      <xdr:row>86</xdr:row>
      <xdr:rowOff>178741</xdr:rowOff>
    </xdr:from>
    <xdr:to>
      <xdr:col>19</xdr:col>
      <xdr:colOff>305740</xdr:colOff>
      <xdr:row>97</xdr:row>
      <xdr:rowOff>153341</xdr:rowOff>
    </xdr:to>
    <xdr:graphicFrame macro="">
      <xdr:nvGraphicFramePr>
        <xdr:cNvPr id="11" name="Chart 10">
          <a:extLst>
            <a:ext uri="{FF2B5EF4-FFF2-40B4-BE49-F238E27FC236}">
              <a16:creationId xmlns:a16="http://schemas.microsoft.com/office/drawing/2014/main" id="{08B2B8B2-B444-49B5-A19F-6EA7A677ECD4}"/>
            </a:ext>
            <a:ext uri="{147F2762-F138-4A5C-976F-8EAC2B608ADB}">
              <a16:predDERef xmlns:a16="http://schemas.microsoft.com/office/drawing/2014/main" pred="{F7F8A013-80B0-4FB1-9AE9-A5DE59B9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415636</xdr:colOff>
      <xdr:row>68</xdr:row>
      <xdr:rowOff>69272</xdr:rowOff>
    </xdr:from>
    <xdr:to>
      <xdr:col>17</xdr:col>
      <xdr:colOff>209308</xdr:colOff>
      <xdr:row>70</xdr:row>
      <xdr:rowOff>155534</xdr:rowOff>
    </xdr:to>
    <xdr:sp macro="" textlink="">
      <xdr:nvSpPr>
        <xdr:cNvPr id="12" name="TextBox 11">
          <a:extLst>
            <a:ext uri="{FF2B5EF4-FFF2-40B4-BE49-F238E27FC236}">
              <a16:creationId xmlns:a16="http://schemas.microsoft.com/office/drawing/2014/main" id="{BC76CEC6-3246-42BC-8595-53EC094A9D6D}"/>
            </a:ext>
          </a:extLst>
        </xdr:cNvPr>
        <xdr:cNvSpPr txBox="1"/>
      </xdr:nvSpPr>
      <xdr:spPr>
        <a:xfrm>
          <a:off x="7121236" y="17625752"/>
          <a:ext cx="3451272" cy="45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NON-CURRENT ASSETS MANAGEMENT</a:t>
          </a:r>
        </a:p>
      </xdr:txBody>
    </xdr:sp>
    <xdr:clientData/>
  </xdr:twoCellAnchor>
  <xdr:twoCellAnchor>
    <xdr:from>
      <xdr:col>1</xdr:col>
      <xdr:colOff>31750</xdr:colOff>
      <xdr:row>1</xdr:row>
      <xdr:rowOff>60216</xdr:rowOff>
    </xdr:from>
    <xdr:to>
      <xdr:col>2</xdr:col>
      <xdr:colOff>90843</xdr:colOff>
      <xdr:row>2</xdr:row>
      <xdr:rowOff>184439</xdr:rowOff>
    </xdr:to>
    <xdr:sp macro="" textlink="">
      <xdr:nvSpPr>
        <xdr:cNvPr id="31" name="TextBox 30">
          <a:hlinkClick xmlns:r="http://schemas.openxmlformats.org/officeDocument/2006/relationships" r:id="rId6"/>
          <a:extLst>
            <a:ext uri="{FF2B5EF4-FFF2-40B4-BE49-F238E27FC236}">
              <a16:creationId xmlns:a16="http://schemas.microsoft.com/office/drawing/2014/main" id="{C272D322-8D6B-44A1-8F4A-F87099D17C62}"/>
            </a:ext>
          </a:extLst>
        </xdr:cNvPr>
        <xdr:cNvSpPr txBox="1"/>
      </xdr:nvSpPr>
      <xdr:spPr>
        <a:xfrm>
          <a:off x="635000" y="250716"/>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383857</xdr:colOff>
      <xdr:row>1</xdr:row>
      <xdr:rowOff>26848</xdr:rowOff>
    </xdr:from>
    <xdr:to>
      <xdr:col>7</xdr:col>
      <xdr:colOff>541021</xdr:colOff>
      <xdr:row>2</xdr:row>
      <xdr:rowOff>132566</xdr:rowOff>
    </xdr:to>
    <xdr:sp macro="" textlink="">
      <xdr:nvSpPr>
        <xdr:cNvPr id="32" name="TextBox 31">
          <a:hlinkClick xmlns:r="http://schemas.openxmlformats.org/officeDocument/2006/relationships" r:id="rId7"/>
          <a:extLst>
            <a:ext uri="{FF2B5EF4-FFF2-40B4-BE49-F238E27FC236}">
              <a16:creationId xmlns:a16="http://schemas.microsoft.com/office/drawing/2014/main" id="{1B4B2687-FCEA-45CA-8A07-2658FDF85888}"/>
            </a:ext>
          </a:extLst>
        </xdr:cNvPr>
        <xdr:cNvSpPr txBox="1"/>
      </xdr:nvSpPr>
      <xdr:spPr>
        <a:xfrm>
          <a:off x="2796857" y="217348"/>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562568</xdr:colOff>
      <xdr:row>1</xdr:row>
      <xdr:rowOff>12282</xdr:rowOff>
    </xdr:from>
    <xdr:to>
      <xdr:col>11</xdr:col>
      <xdr:colOff>465556</xdr:colOff>
      <xdr:row>2</xdr:row>
      <xdr:rowOff>182029</xdr:rowOff>
    </xdr:to>
    <xdr:sp macro="" textlink="">
      <xdr:nvSpPr>
        <xdr:cNvPr id="33" name="TextBox 32">
          <a:hlinkClick xmlns:r="http://schemas.openxmlformats.org/officeDocument/2006/relationships" r:id="rId8"/>
          <a:extLst>
            <a:ext uri="{FF2B5EF4-FFF2-40B4-BE49-F238E27FC236}">
              <a16:creationId xmlns:a16="http://schemas.microsoft.com/office/drawing/2014/main" id="{D4284C69-D425-452D-9503-5F398C826388}"/>
            </a:ext>
          </a:extLst>
        </xdr:cNvPr>
        <xdr:cNvSpPr txBox="1"/>
      </xdr:nvSpPr>
      <xdr:spPr>
        <a:xfrm>
          <a:off x="4785318" y="202782"/>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260210</xdr:colOff>
      <xdr:row>1</xdr:row>
      <xdr:rowOff>9622</xdr:rowOff>
    </xdr:from>
    <xdr:to>
      <xdr:col>15</xdr:col>
      <xdr:colOff>41899</xdr:colOff>
      <xdr:row>2</xdr:row>
      <xdr:rowOff>93568</xdr:rowOff>
    </xdr:to>
    <xdr:sp macro="" textlink="">
      <xdr:nvSpPr>
        <xdr:cNvPr id="34" name="TextBox 33">
          <a:hlinkClick xmlns:r="http://schemas.openxmlformats.org/officeDocument/2006/relationships" r:id="rId9"/>
          <a:extLst>
            <a:ext uri="{FF2B5EF4-FFF2-40B4-BE49-F238E27FC236}">
              <a16:creationId xmlns:a16="http://schemas.microsoft.com/office/drawing/2014/main" id="{9EDB1EB7-4BF7-429D-9F58-A34979200EDE}"/>
            </a:ext>
          </a:extLst>
        </xdr:cNvPr>
        <xdr:cNvSpPr txBox="1"/>
      </xdr:nvSpPr>
      <xdr:spPr>
        <a:xfrm>
          <a:off x="6895960" y="200122"/>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15</xdr:col>
      <xdr:colOff>93601</xdr:colOff>
      <xdr:row>1</xdr:row>
      <xdr:rowOff>18260</xdr:rowOff>
    </xdr:from>
    <xdr:to>
      <xdr:col>18</xdr:col>
      <xdr:colOff>240212</xdr:colOff>
      <xdr:row>2</xdr:row>
      <xdr:rowOff>107422</xdr:rowOff>
    </xdr:to>
    <xdr:sp macro="" textlink="">
      <xdr:nvSpPr>
        <xdr:cNvPr id="35" name="TextBox 34">
          <a:hlinkClick xmlns:r="http://schemas.openxmlformats.org/officeDocument/2006/relationships" r:id="rId10"/>
          <a:extLst>
            <a:ext uri="{FF2B5EF4-FFF2-40B4-BE49-F238E27FC236}">
              <a16:creationId xmlns:a16="http://schemas.microsoft.com/office/drawing/2014/main" id="{EA8400C1-5033-4F2A-B1BE-522201C153C0}"/>
            </a:ext>
          </a:extLst>
        </xdr:cNvPr>
        <xdr:cNvSpPr txBox="1"/>
      </xdr:nvSpPr>
      <xdr:spPr>
        <a:xfrm>
          <a:off x="9142351" y="208760"/>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213220</xdr:colOff>
      <xdr:row>1</xdr:row>
      <xdr:rowOff>18052</xdr:rowOff>
    </xdr:from>
    <xdr:to>
      <xdr:col>23</xdr:col>
      <xdr:colOff>179269</xdr:colOff>
      <xdr:row>2</xdr:row>
      <xdr:rowOff>129879</xdr:rowOff>
    </xdr:to>
    <xdr:sp macro="" textlink="">
      <xdr:nvSpPr>
        <xdr:cNvPr id="36" name="TextBox 35">
          <a:hlinkClick xmlns:r="http://schemas.openxmlformats.org/officeDocument/2006/relationships" r:id="rId11"/>
          <a:extLst>
            <a:ext uri="{FF2B5EF4-FFF2-40B4-BE49-F238E27FC236}">
              <a16:creationId xmlns:a16="http://schemas.microsoft.com/office/drawing/2014/main" id="{C74AC4AF-D338-4609-869B-0988F9946BC8}"/>
            </a:ext>
          </a:extLst>
        </xdr:cNvPr>
        <xdr:cNvSpPr txBox="1"/>
      </xdr:nvSpPr>
      <xdr:spPr>
        <a:xfrm>
          <a:off x="11071720" y="208552"/>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563661</xdr:colOff>
      <xdr:row>1</xdr:row>
      <xdr:rowOff>14805</xdr:rowOff>
    </xdr:from>
    <xdr:to>
      <xdr:col>27</xdr:col>
      <xdr:colOff>121659</xdr:colOff>
      <xdr:row>2</xdr:row>
      <xdr:rowOff>123523</xdr:rowOff>
    </xdr:to>
    <xdr:sp macro="" textlink="">
      <xdr:nvSpPr>
        <xdr:cNvPr id="37" name="TextBox 36">
          <a:hlinkClick xmlns:r="http://schemas.openxmlformats.org/officeDocument/2006/relationships" r:id="rId12"/>
          <a:extLst>
            <a:ext uri="{FF2B5EF4-FFF2-40B4-BE49-F238E27FC236}">
              <a16:creationId xmlns:a16="http://schemas.microsoft.com/office/drawing/2014/main" id="{BA82130C-4206-4ED0-9916-11F7B314B385}"/>
            </a:ext>
          </a:extLst>
        </xdr:cNvPr>
        <xdr:cNvSpPr txBox="1"/>
      </xdr:nvSpPr>
      <xdr:spPr>
        <a:xfrm>
          <a:off x="14438411" y="205305"/>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67311</xdr:colOff>
      <xdr:row>1</xdr:row>
      <xdr:rowOff>0</xdr:rowOff>
    </xdr:from>
    <xdr:to>
      <xdr:col>23</xdr:col>
      <xdr:colOff>544834</xdr:colOff>
      <xdr:row>2</xdr:row>
      <xdr:rowOff>111228</xdr:rowOff>
    </xdr:to>
    <xdr:sp macro="" textlink="">
      <xdr:nvSpPr>
        <xdr:cNvPr id="38" name="TextBox 37">
          <a:hlinkClick xmlns:r="http://schemas.openxmlformats.org/officeDocument/2006/relationships" r:id="rId13"/>
          <a:extLst>
            <a:ext uri="{FF2B5EF4-FFF2-40B4-BE49-F238E27FC236}">
              <a16:creationId xmlns:a16="http://schemas.microsoft.com/office/drawing/2014/main" id="{EEF9DED0-5867-49A7-B14F-E03B093B7875}"/>
            </a:ext>
          </a:extLst>
        </xdr:cNvPr>
        <xdr:cNvSpPr txBox="1"/>
      </xdr:nvSpPr>
      <xdr:spPr>
        <a:xfrm>
          <a:off x="13942061" y="190500"/>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194944</xdr:colOff>
      <xdr:row>1</xdr:row>
      <xdr:rowOff>48281</xdr:rowOff>
    </xdr:from>
    <xdr:to>
      <xdr:col>5</xdr:col>
      <xdr:colOff>352108</xdr:colOff>
      <xdr:row>2</xdr:row>
      <xdr:rowOff>153999</xdr:rowOff>
    </xdr:to>
    <xdr:sp macro="" textlink="">
      <xdr:nvSpPr>
        <xdr:cNvPr id="39" name="TextBox 38">
          <a:hlinkClick xmlns:r="http://schemas.openxmlformats.org/officeDocument/2006/relationships" r:id="rId14"/>
          <a:extLst>
            <a:ext uri="{FF2B5EF4-FFF2-40B4-BE49-F238E27FC236}">
              <a16:creationId xmlns:a16="http://schemas.microsoft.com/office/drawing/2014/main" id="{72C6C2A8-BF80-4C19-9C4D-F1D596B6A5C9}"/>
            </a:ext>
          </a:extLst>
        </xdr:cNvPr>
        <xdr:cNvSpPr txBox="1"/>
      </xdr:nvSpPr>
      <xdr:spPr>
        <a:xfrm>
          <a:off x="1401444" y="238781"/>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80986</xdr:colOff>
      <xdr:row>3</xdr:row>
      <xdr:rowOff>63758</xdr:rowOff>
    </xdr:from>
    <xdr:to>
      <xdr:col>11</xdr:col>
      <xdr:colOff>70555</xdr:colOff>
      <xdr:row>8</xdr:row>
      <xdr:rowOff>143969</xdr:rowOff>
    </xdr:to>
    <xdr:sp macro="" textlink="">
      <xdr:nvSpPr>
        <xdr:cNvPr id="2" name="TextBox 1">
          <a:extLst>
            <a:ext uri="{FF2B5EF4-FFF2-40B4-BE49-F238E27FC236}">
              <a16:creationId xmlns:a16="http://schemas.microsoft.com/office/drawing/2014/main" id="{02E6B385-CE13-4FAE-9620-8A276DF4DC0C}"/>
            </a:ext>
          </a:extLst>
        </xdr:cNvPr>
        <xdr:cNvSpPr txBox="1"/>
      </xdr:nvSpPr>
      <xdr:spPr>
        <a:xfrm>
          <a:off x="1294542" y="614091"/>
          <a:ext cx="5450569" cy="997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OPERATING MANAGEMENT</a:t>
          </a:r>
        </a:p>
      </xdr:txBody>
    </xdr:sp>
    <xdr:clientData/>
  </xdr:twoCellAnchor>
  <xdr:twoCellAnchor>
    <xdr:from>
      <xdr:col>11</xdr:col>
      <xdr:colOff>14111</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3302BDAC-4C93-4607-A451-61E229ECE3D6}"/>
            </a:ext>
          </a:extLst>
        </xdr:cNvPr>
        <xdr:cNvCxnSpPr/>
      </xdr:nvCxnSpPr>
      <xdr:spPr>
        <a:xfrm>
          <a:off x="6688667" y="1255803"/>
          <a:ext cx="9654170"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4CAF59AB-387B-49D4-A753-93E60376F268}"/>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04</a:t>
          </a:r>
        </a:p>
        <a:p>
          <a:pPr algn="l">
            <a:buNone/>
          </a:pPr>
          <a:endParaRPr lang="en-GB" sz="2000" b="0" i="0" cap="all">
            <a:solidFill>
              <a:srgbClr val="E8001A"/>
            </a:solidFill>
            <a:effectLst/>
            <a:latin typeface="Barlow Condensed" panose="00000506000000000000" pitchFamily="2" charset="0"/>
          </a:endParaRPr>
        </a:p>
      </xdr:txBody>
    </xdr:sp>
    <xdr:clientData/>
  </xdr:twoCellAnchor>
  <xdr:twoCellAnchor>
    <xdr:from>
      <xdr:col>2</xdr:col>
      <xdr:colOff>381000</xdr:colOff>
      <xdr:row>26</xdr:row>
      <xdr:rowOff>152399</xdr:rowOff>
    </xdr:from>
    <xdr:to>
      <xdr:col>12</xdr:col>
      <xdr:colOff>338666</xdr:colOff>
      <xdr:row>37</xdr:row>
      <xdr:rowOff>126999</xdr:rowOff>
    </xdr:to>
    <xdr:graphicFrame macro="">
      <xdr:nvGraphicFramePr>
        <xdr:cNvPr id="7" name="Chart 6">
          <a:extLst>
            <a:ext uri="{FF2B5EF4-FFF2-40B4-BE49-F238E27FC236}">
              <a16:creationId xmlns:a16="http://schemas.microsoft.com/office/drawing/2014/main" id="{50BAF9EC-2804-DAAC-6D20-D414CC90C1D0}"/>
            </a:ext>
            <a:ext uri="{147F2762-F138-4A5C-976F-8EAC2B608ADB}">
              <a16:predDERef xmlns:a16="http://schemas.microsoft.com/office/drawing/2014/main" pred="{4CAF59AB-387B-49D4-A753-93E60376F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10" name="Chart 9">
          <a:extLst>
            <a:ext uri="{FF2B5EF4-FFF2-40B4-BE49-F238E27FC236}">
              <a16:creationId xmlns:a16="http://schemas.microsoft.com/office/drawing/2014/main" id="{9EF9E17F-6F77-42E5-81EC-B150A6965125}"/>
            </a:ext>
            <a:ext uri="{147F2762-F138-4A5C-976F-8EAC2B608ADB}">
              <a16:predDERef xmlns:a16="http://schemas.microsoft.com/office/drawing/2014/main" pred="{50BAF9EC-2804-DAAC-6D20-D414CC90C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348074</xdr:colOff>
      <xdr:row>54</xdr:row>
      <xdr:rowOff>178741</xdr:rowOff>
    </xdr:from>
    <xdr:to>
      <xdr:col>25</xdr:col>
      <xdr:colOff>305740</xdr:colOff>
      <xdr:row>65</xdr:row>
      <xdr:rowOff>153341</xdr:rowOff>
    </xdr:to>
    <xdr:graphicFrame macro="">
      <xdr:nvGraphicFramePr>
        <xdr:cNvPr id="12" name="Chart 11">
          <a:extLst>
            <a:ext uri="{FF2B5EF4-FFF2-40B4-BE49-F238E27FC236}">
              <a16:creationId xmlns:a16="http://schemas.microsoft.com/office/drawing/2014/main" id="{5A5E084C-20BA-4B0B-BE3E-8FEF62A971BA}"/>
            </a:ext>
            <a:ext uri="{147F2762-F138-4A5C-976F-8EAC2B608ADB}">
              <a16:predDERef xmlns:a16="http://schemas.microsoft.com/office/drawing/2014/main" pred="{9EF9E17F-6F77-42E5-81EC-B150A6965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294640</xdr:colOff>
      <xdr:row>54</xdr:row>
      <xdr:rowOff>264160</xdr:rowOff>
    </xdr:from>
    <xdr:to>
      <xdr:col>12</xdr:col>
      <xdr:colOff>252306</xdr:colOff>
      <xdr:row>64</xdr:row>
      <xdr:rowOff>154940</xdr:rowOff>
    </xdr:to>
    <xdr:graphicFrame macro="">
      <xdr:nvGraphicFramePr>
        <xdr:cNvPr id="13" name="Chart 12">
          <a:extLst>
            <a:ext uri="{FF2B5EF4-FFF2-40B4-BE49-F238E27FC236}">
              <a16:creationId xmlns:a16="http://schemas.microsoft.com/office/drawing/2014/main" id="{87F1FD5B-89B6-41D5-9F1C-A42FBF56C33F}"/>
            </a:ext>
            <a:ext uri="{147F2762-F138-4A5C-976F-8EAC2B608ADB}">
              <a16:predDERef xmlns:a16="http://schemas.microsoft.com/office/drawing/2014/main" pred="{5A5E084C-20BA-4B0B-BE3E-8FEF62A97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38100</xdr:colOff>
      <xdr:row>1</xdr:row>
      <xdr:rowOff>60216</xdr:rowOff>
    </xdr:from>
    <xdr:to>
      <xdr:col>2</xdr:col>
      <xdr:colOff>90843</xdr:colOff>
      <xdr:row>2</xdr:row>
      <xdr:rowOff>184439</xdr:rowOff>
    </xdr:to>
    <xdr:sp macro="" textlink="">
      <xdr:nvSpPr>
        <xdr:cNvPr id="9" name="TextBox 8">
          <a:hlinkClick xmlns:r="http://schemas.openxmlformats.org/officeDocument/2006/relationships" r:id="rId5"/>
          <a:extLst>
            <a:ext uri="{FF2B5EF4-FFF2-40B4-BE49-F238E27FC236}">
              <a16:creationId xmlns:a16="http://schemas.microsoft.com/office/drawing/2014/main" id="{7B349EC9-F631-4E6F-9F96-169729E4F0E4}"/>
            </a:ext>
          </a:extLst>
        </xdr:cNvPr>
        <xdr:cNvSpPr txBox="1"/>
      </xdr:nvSpPr>
      <xdr:spPr>
        <a:xfrm>
          <a:off x="647700" y="250716"/>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371157</xdr:colOff>
      <xdr:row>1</xdr:row>
      <xdr:rowOff>26848</xdr:rowOff>
    </xdr:from>
    <xdr:to>
      <xdr:col>7</xdr:col>
      <xdr:colOff>509271</xdr:colOff>
      <xdr:row>2</xdr:row>
      <xdr:rowOff>132566</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04EFF43B-5796-49E9-B0C4-6B20D3E05573}"/>
            </a:ext>
          </a:extLst>
        </xdr:cNvPr>
        <xdr:cNvSpPr txBox="1"/>
      </xdr:nvSpPr>
      <xdr:spPr>
        <a:xfrm>
          <a:off x="2809557" y="217348"/>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530818</xdr:colOff>
      <xdr:row>1</xdr:row>
      <xdr:rowOff>12282</xdr:rowOff>
    </xdr:from>
    <xdr:to>
      <xdr:col>11</xdr:col>
      <xdr:colOff>408406</xdr:colOff>
      <xdr:row>2</xdr:row>
      <xdr:rowOff>182029</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866CEA7A-5869-4878-AF3E-3678B0190116}"/>
            </a:ext>
          </a:extLst>
        </xdr:cNvPr>
        <xdr:cNvSpPr txBox="1"/>
      </xdr:nvSpPr>
      <xdr:spPr>
        <a:xfrm>
          <a:off x="4798018" y="202782"/>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203060</xdr:colOff>
      <xdr:row>1</xdr:row>
      <xdr:rowOff>9622</xdr:rowOff>
    </xdr:from>
    <xdr:to>
      <xdr:col>14</xdr:col>
      <xdr:colOff>568949</xdr:colOff>
      <xdr:row>2</xdr:row>
      <xdr:rowOff>93568</xdr:rowOff>
    </xdr:to>
    <xdr:sp macro="" textlink="">
      <xdr:nvSpPr>
        <xdr:cNvPr id="15" name="TextBox 14">
          <a:hlinkClick xmlns:r="http://schemas.openxmlformats.org/officeDocument/2006/relationships" r:id="rId8"/>
          <a:extLst>
            <a:ext uri="{FF2B5EF4-FFF2-40B4-BE49-F238E27FC236}">
              <a16:creationId xmlns:a16="http://schemas.microsoft.com/office/drawing/2014/main" id="{813B947D-379D-4173-AAA7-D00E12D6D481}"/>
            </a:ext>
          </a:extLst>
        </xdr:cNvPr>
        <xdr:cNvSpPr txBox="1"/>
      </xdr:nvSpPr>
      <xdr:spPr>
        <a:xfrm>
          <a:off x="6908660" y="200122"/>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15</xdr:col>
      <xdr:colOff>11051</xdr:colOff>
      <xdr:row>1</xdr:row>
      <xdr:rowOff>18260</xdr:rowOff>
    </xdr:from>
    <xdr:to>
      <xdr:col>18</xdr:col>
      <xdr:colOff>138612</xdr:colOff>
      <xdr:row>2</xdr:row>
      <xdr:rowOff>107422</xdr:rowOff>
    </xdr:to>
    <xdr:sp macro="" textlink="">
      <xdr:nvSpPr>
        <xdr:cNvPr id="16" name="TextBox 15">
          <a:hlinkClick xmlns:r="http://schemas.openxmlformats.org/officeDocument/2006/relationships" r:id="rId9"/>
          <a:extLst>
            <a:ext uri="{FF2B5EF4-FFF2-40B4-BE49-F238E27FC236}">
              <a16:creationId xmlns:a16="http://schemas.microsoft.com/office/drawing/2014/main" id="{3B881F06-5478-402B-AB78-806BA56736BB}"/>
            </a:ext>
          </a:extLst>
        </xdr:cNvPr>
        <xdr:cNvSpPr txBox="1"/>
      </xdr:nvSpPr>
      <xdr:spPr>
        <a:xfrm>
          <a:off x="9155051" y="208760"/>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111620</xdr:colOff>
      <xdr:row>1</xdr:row>
      <xdr:rowOff>18052</xdr:rowOff>
    </xdr:from>
    <xdr:to>
      <xdr:col>23</xdr:col>
      <xdr:colOff>45919</xdr:colOff>
      <xdr:row>2</xdr:row>
      <xdr:rowOff>129879</xdr:rowOff>
    </xdr:to>
    <xdr:sp macro="" textlink="">
      <xdr:nvSpPr>
        <xdr:cNvPr id="17" name="TextBox 16">
          <a:hlinkClick xmlns:r="http://schemas.openxmlformats.org/officeDocument/2006/relationships" r:id="rId10"/>
          <a:extLst>
            <a:ext uri="{FF2B5EF4-FFF2-40B4-BE49-F238E27FC236}">
              <a16:creationId xmlns:a16="http://schemas.microsoft.com/office/drawing/2014/main" id="{51EF1C48-554F-4141-9610-2D5B0243BA37}"/>
            </a:ext>
          </a:extLst>
        </xdr:cNvPr>
        <xdr:cNvSpPr txBox="1"/>
      </xdr:nvSpPr>
      <xdr:spPr>
        <a:xfrm>
          <a:off x="11084420" y="208552"/>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430311</xdr:colOff>
      <xdr:row>1</xdr:row>
      <xdr:rowOff>14805</xdr:rowOff>
    </xdr:from>
    <xdr:to>
      <xdr:col>26</xdr:col>
      <xdr:colOff>572509</xdr:colOff>
      <xdr:row>2</xdr:row>
      <xdr:rowOff>123523</xdr:rowOff>
    </xdr:to>
    <xdr:sp macro="" textlink="">
      <xdr:nvSpPr>
        <xdr:cNvPr id="18" name="TextBox 17">
          <a:hlinkClick xmlns:r="http://schemas.openxmlformats.org/officeDocument/2006/relationships" r:id="rId11"/>
          <a:extLst>
            <a:ext uri="{FF2B5EF4-FFF2-40B4-BE49-F238E27FC236}">
              <a16:creationId xmlns:a16="http://schemas.microsoft.com/office/drawing/2014/main" id="{1A575FF3-355E-4FB7-8011-B2D59E23906A}"/>
            </a:ext>
          </a:extLst>
        </xdr:cNvPr>
        <xdr:cNvSpPr txBox="1"/>
      </xdr:nvSpPr>
      <xdr:spPr>
        <a:xfrm>
          <a:off x="14451111" y="205305"/>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22</xdr:col>
      <xdr:colOff>543561</xdr:colOff>
      <xdr:row>1</xdr:row>
      <xdr:rowOff>0</xdr:rowOff>
    </xdr:from>
    <xdr:to>
      <xdr:col>23</xdr:col>
      <xdr:colOff>411484</xdr:colOff>
      <xdr:row>2</xdr:row>
      <xdr:rowOff>111228</xdr:rowOff>
    </xdr:to>
    <xdr:sp macro="" textlink="">
      <xdr:nvSpPr>
        <xdr:cNvPr id="19" name="TextBox 18">
          <a:hlinkClick xmlns:r="http://schemas.openxmlformats.org/officeDocument/2006/relationships" r:id="rId12"/>
          <a:extLst>
            <a:ext uri="{FF2B5EF4-FFF2-40B4-BE49-F238E27FC236}">
              <a16:creationId xmlns:a16="http://schemas.microsoft.com/office/drawing/2014/main" id="{C1FE3F5B-D823-4BE4-BD9C-2D37F151EEE8}"/>
            </a:ext>
          </a:extLst>
        </xdr:cNvPr>
        <xdr:cNvSpPr txBox="1"/>
      </xdr:nvSpPr>
      <xdr:spPr>
        <a:xfrm>
          <a:off x="13954761" y="190500"/>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194944</xdr:colOff>
      <xdr:row>1</xdr:row>
      <xdr:rowOff>48281</xdr:rowOff>
    </xdr:from>
    <xdr:to>
      <xdr:col>5</xdr:col>
      <xdr:colOff>333058</xdr:colOff>
      <xdr:row>2</xdr:row>
      <xdr:rowOff>153999</xdr:rowOff>
    </xdr:to>
    <xdr:sp macro="" textlink="">
      <xdr:nvSpPr>
        <xdr:cNvPr id="20" name="TextBox 19">
          <a:hlinkClick xmlns:r="http://schemas.openxmlformats.org/officeDocument/2006/relationships" r:id="rId13"/>
          <a:extLst>
            <a:ext uri="{FF2B5EF4-FFF2-40B4-BE49-F238E27FC236}">
              <a16:creationId xmlns:a16="http://schemas.microsoft.com/office/drawing/2014/main" id="{10B18673-DA66-4D93-81F6-496D442D6453}"/>
            </a:ext>
          </a:extLst>
        </xdr:cNvPr>
        <xdr:cNvSpPr txBox="1"/>
      </xdr:nvSpPr>
      <xdr:spPr>
        <a:xfrm>
          <a:off x="1414144" y="238781"/>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80986</xdr:colOff>
      <xdr:row>3</xdr:row>
      <xdr:rowOff>63758</xdr:rowOff>
    </xdr:from>
    <xdr:to>
      <xdr:col>11</xdr:col>
      <xdr:colOff>563880</xdr:colOff>
      <xdr:row>9</xdr:row>
      <xdr:rowOff>143969</xdr:rowOff>
    </xdr:to>
    <xdr:sp macro="" textlink="">
      <xdr:nvSpPr>
        <xdr:cNvPr id="2" name="TextBox 1">
          <a:extLst>
            <a:ext uri="{FF2B5EF4-FFF2-40B4-BE49-F238E27FC236}">
              <a16:creationId xmlns:a16="http://schemas.microsoft.com/office/drawing/2014/main" id="{2D91CDE2-7C66-4B93-BBA9-07E7FFE83AC7}"/>
            </a:ext>
          </a:extLst>
        </xdr:cNvPr>
        <xdr:cNvSpPr txBox="1"/>
      </xdr:nvSpPr>
      <xdr:spPr>
        <a:xfrm>
          <a:off x="1300186" y="612398"/>
          <a:ext cx="5969294" cy="99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Financial management</a:t>
          </a:r>
        </a:p>
      </xdr:txBody>
    </xdr:sp>
    <xdr:clientData/>
  </xdr:twoCellAnchor>
  <xdr:twoCellAnchor>
    <xdr:from>
      <xdr:col>10</xdr:col>
      <xdr:colOff>396240</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5D4F00E3-E8D4-460A-80B4-3AA8A48AC74D}"/>
            </a:ext>
          </a:extLst>
        </xdr:cNvPr>
        <xdr:cNvCxnSpPr/>
      </xdr:nvCxnSpPr>
      <xdr:spPr>
        <a:xfrm>
          <a:off x="6492240" y="1252416"/>
          <a:ext cx="9923975"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1CC68D66-76FD-4AE2-8FD6-080A91E2A628}"/>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05</a:t>
          </a:r>
        </a:p>
      </xdr:txBody>
    </xdr:sp>
    <xdr:clientData/>
  </xdr:twoCellAnchor>
  <xdr:twoCellAnchor>
    <xdr:from>
      <xdr:col>15</xdr:col>
      <xdr:colOff>348074</xdr:colOff>
      <xdr:row>88</xdr:row>
      <xdr:rowOff>178741</xdr:rowOff>
    </xdr:from>
    <xdr:to>
      <xdr:col>25</xdr:col>
      <xdr:colOff>305740</xdr:colOff>
      <xdr:row>99</xdr:row>
      <xdr:rowOff>153341</xdr:rowOff>
    </xdr:to>
    <xdr:graphicFrame macro="">
      <xdr:nvGraphicFramePr>
        <xdr:cNvPr id="7" name="Chart 6">
          <a:extLst>
            <a:ext uri="{FF2B5EF4-FFF2-40B4-BE49-F238E27FC236}">
              <a16:creationId xmlns:a16="http://schemas.microsoft.com/office/drawing/2014/main" id="{6674015C-F91D-4BD7-9A23-518A8301EA23}"/>
            </a:ext>
            <a:ext uri="{147F2762-F138-4A5C-976F-8EAC2B608ADB}">
              <a16:predDERef xmlns:a16="http://schemas.microsoft.com/office/drawing/2014/main" pred="{1CC68D66-76FD-4AE2-8FD6-080A91E2A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294640</xdr:colOff>
      <xdr:row>88</xdr:row>
      <xdr:rowOff>264160</xdr:rowOff>
    </xdr:from>
    <xdr:to>
      <xdr:col>12</xdr:col>
      <xdr:colOff>252306</xdr:colOff>
      <xdr:row>98</xdr:row>
      <xdr:rowOff>154940</xdr:rowOff>
    </xdr:to>
    <xdr:graphicFrame macro="">
      <xdr:nvGraphicFramePr>
        <xdr:cNvPr id="8" name="Chart 7">
          <a:extLst>
            <a:ext uri="{FF2B5EF4-FFF2-40B4-BE49-F238E27FC236}">
              <a16:creationId xmlns:a16="http://schemas.microsoft.com/office/drawing/2014/main" id="{CF03BEAC-8887-42D4-B9F8-A4892130B54B}"/>
            </a:ext>
            <a:ext uri="{147F2762-F138-4A5C-976F-8EAC2B608ADB}">
              <a16:predDERef xmlns:a16="http://schemas.microsoft.com/office/drawing/2014/main" pred="{6674015C-F91D-4BD7-9A23-518A8301E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116</xdr:row>
      <xdr:rowOff>152399</xdr:rowOff>
    </xdr:from>
    <xdr:to>
      <xdr:col>12</xdr:col>
      <xdr:colOff>338666</xdr:colOff>
      <xdr:row>127</xdr:row>
      <xdr:rowOff>126999</xdr:rowOff>
    </xdr:to>
    <xdr:graphicFrame macro="">
      <xdr:nvGraphicFramePr>
        <xdr:cNvPr id="9" name="Chart 8">
          <a:extLst>
            <a:ext uri="{FF2B5EF4-FFF2-40B4-BE49-F238E27FC236}">
              <a16:creationId xmlns:a16="http://schemas.microsoft.com/office/drawing/2014/main" id="{CC5612F5-30B3-44E5-9BE7-76829AF88C12}"/>
            </a:ext>
            <a:ext uri="{147F2762-F138-4A5C-976F-8EAC2B608ADB}">
              <a16:predDERef xmlns:a16="http://schemas.microsoft.com/office/drawing/2014/main" pred="{CF03BEAC-8887-42D4-B9F8-A4892130B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348074</xdr:colOff>
      <xdr:row>116</xdr:row>
      <xdr:rowOff>178741</xdr:rowOff>
    </xdr:from>
    <xdr:to>
      <xdr:col>25</xdr:col>
      <xdr:colOff>305740</xdr:colOff>
      <xdr:row>127</xdr:row>
      <xdr:rowOff>153341</xdr:rowOff>
    </xdr:to>
    <xdr:graphicFrame macro="">
      <xdr:nvGraphicFramePr>
        <xdr:cNvPr id="10" name="Chart 9">
          <a:extLst>
            <a:ext uri="{FF2B5EF4-FFF2-40B4-BE49-F238E27FC236}">
              <a16:creationId xmlns:a16="http://schemas.microsoft.com/office/drawing/2014/main" id="{3992A6D0-AD4B-4A0C-9B08-5F209727A6CB}"/>
            </a:ext>
            <a:ext uri="{147F2762-F138-4A5C-976F-8EAC2B608ADB}">
              <a16:predDERef xmlns:a16="http://schemas.microsoft.com/office/drawing/2014/main" pred="{CC5612F5-30B3-44E5-9BE7-76829AF88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11" name="Chart 10">
          <a:extLst>
            <a:ext uri="{FF2B5EF4-FFF2-40B4-BE49-F238E27FC236}">
              <a16:creationId xmlns:a16="http://schemas.microsoft.com/office/drawing/2014/main" id="{D99B18D8-9F8C-45B5-B09C-DB7A9901013E}"/>
            </a:ext>
            <a:ext uri="{147F2762-F138-4A5C-976F-8EAC2B608ADB}">
              <a16:predDERef xmlns:a16="http://schemas.microsoft.com/office/drawing/2014/main" pred="{3992A6D0-AD4B-4A0C-9B08-5F209727A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294640</xdr:colOff>
      <xdr:row>26</xdr:row>
      <xdr:rowOff>264160</xdr:rowOff>
    </xdr:from>
    <xdr:to>
      <xdr:col>12</xdr:col>
      <xdr:colOff>252306</xdr:colOff>
      <xdr:row>36</xdr:row>
      <xdr:rowOff>154940</xdr:rowOff>
    </xdr:to>
    <xdr:graphicFrame macro="">
      <xdr:nvGraphicFramePr>
        <xdr:cNvPr id="12" name="Chart 11">
          <a:extLst>
            <a:ext uri="{FF2B5EF4-FFF2-40B4-BE49-F238E27FC236}">
              <a16:creationId xmlns:a16="http://schemas.microsoft.com/office/drawing/2014/main" id="{45D1E203-8233-4B56-955A-B83485FA7E8D}"/>
            </a:ext>
            <a:ext uri="{147F2762-F138-4A5C-976F-8EAC2B608ADB}">
              <a16:predDERef xmlns:a16="http://schemas.microsoft.com/office/drawing/2014/main" pred="{D99B18D8-9F8C-45B5-B09C-DB7A99010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348074</xdr:colOff>
      <xdr:row>54</xdr:row>
      <xdr:rowOff>178741</xdr:rowOff>
    </xdr:from>
    <xdr:to>
      <xdr:col>19</xdr:col>
      <xdr:colOff>305740</xdr:colOff>
      <xdr:row>65</xdr:row>
      <xdr:rowOff>153341</xdr:rowOff>
    </xdr:to>
    <xdr:graphicFrame macro="">
      <xdr:nvGraphicFramePr>
        <xdr:cNvPr id="15" name="Chart 14">
          <a:extLst>
            <a:ext uri="{FF2B5EF4-FFF2-40B4-BE49-F238E27FC236}">
              <a16:creationId xmlns:a16="http://schemas.microsoft.com/office/drawing/2014/main" id="{9B760A90-DE49-4AC1-B8B0-F63C3BD67E00}"/>
            </a:ext>
            <a:ext uri="{147F2762-F138-4A5C-976F-8EAC2B608ADB}">
              <a16:predDERef xmlns:a16="http://schemas.microsoft.com/office/drawing/2014/main" pred="{45D1E203-8233-4B56-955A-B83485FA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238125</xdr:colOff>
      <xdr:row>69</xdr:row>
      <xdr:rowOff>0</xdr:rowOff>
    </xdr:from>
    <xdr:to>
      <xdr:col>15</xdr:col>
      <xdr:colOff>190501</xdr:colOff>
      <xdr:row>71</xdr:row>
      <xdr:rowOff>95251</xdr:rowOff>
    </xdr:to>
    <xdr:sp macro="" textlink="">
      <xdr:nvSpPr>
        <xdr:cNvPr id="19" name="TextBox 18">
          <a:extLst>
            <a:ext uri="{FF2B5EF4-FFF2-40B4-BE49-F238E27FC236}">
              <a16:creationId xmlns:a16="http://schemas.microsoft.com/office/drawing/2014/main" id="{10C0CD8D-E021-45AE-B798-9B652805E4AB}"/>
            </a:ext>
          </a:extLst>
        </xdr:cNvPr>
        <xdr:cNvSpPr txBox="1"/>
      </xdr:nvSpPr>
      <xdr:spPr>
        <a:xfrm>
          <a:off x="8286750" y="18288000"/>
          <a:ext cx="1190626"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SOLVENCY</a:t>
          </a:r>
        </a:p>
        <a:p>
          <a:pPr algn="l">
            <a:buNone/>
          </a:pPr>
          <a:endParaRPr lang="en-GB" sz="2000" b="0" i="0" cap="all">
            <a:solidFill>
              <a:srgbClr val="E8001A"/>
            </a:solidFill>
            <a:effectLst/>
            <a:latin typeface="Barlow Condensed" panose="00000506000000000000" pitchFamily="2" charset="0"/>
          </a:endParaRPr>
        </a:p>
      </xdr:txBody>
    </xdr:sp>
    <xdr:clientData/>
  </xdr:twoCellAnchor>
  <xdr:twoCellAnchor>
    <xdr:from>
      <xdr:col>13</xdr:col>
      <xdr:colOff>123246</xdr:colOff>
      <xdr:row>8</xdr:row>
      <xdr:rowOff>33781</xdr:rowOff>
    </xdr:from>
    <xdr:to>
      <xdr:col>15</xdr:col>
      <xdr:colOff>75623</xdr:colOff>
      <xdr:row>11</xdr:row>
      <xdr:rowOff>122463</xdr:rowOff>
    </xdr:to>
    <xdr:sp macro="" textlink="">
      <xdr:nvSpPr>
        <xdr:cNvPr id="20" name="TextBox 19">
          <a:extLst>
            <a:ext uri="{FF2B5EF4-FFF2-40B4-BE49-F238E27FC236}">
              <a16:creationId xmlns:a16="http://schemas.microsoft.com/office/drawing/2014/main" id="{1C8D3B2E-B658-4057-8C77-35A96D628F0E}"/>
            </a:ext>
          </a:extLst>
        </xdr:cNvPr>
        <xdr:cNvSpPr txBox="1"/>
      </xdr:nvSpPr>
      <xdr:spPr>
        <a:xfrm>
          <a:off x="7979729" y="1505229"/>
          <a:ext cx="1161066" cy="640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liquidity</a:t>
          </a:r>
        </a:p>
        <a:p>
          <a:pPr algn="l">
            <a:buNone/>
          </a:pPr>
          <a:endParaRPr lang="en-GB" sz="2000" b="0" i="0" cap="all">
            <a:solidFill>
              <a:srgbClr val="E8001A"/>
            </a:solidFill>
            <a:effectLst/>
            <a:latin typeface="Barlow Condensed" panose="00000506000000000000" pitchFamily="2" charset="0"/>
          </a:endParaRPr>
        </a:p>
      </xdr:txBody>
    </xdr:sp>
    <xdr:clientData/>
  </xdr:twoCellAnchor>
  <xdr:twoCellAnchor>
    <xdr:from>
      <xdr:col>1</xdr:col>
      <xdr:colOff>0</xdr:colOff>
      <xdr:row>1</xdr:row>
      <xdr:rowOff>60216</xdr:rowOff>
    </xdr:from>
    <xdr:to>
      <xdr:col>2</xdr:col>
      <xdr:colOff>47827</xdr:colOff>
      <xdr:row>3</xdr:row>
      <xdr:rowOff>30810</xdr:rowOff>
    </xdr:to>
    <xdr:sp macro="" textlink="">
      <xdr:nvSpPr>
        <xdr:cNvPr id="30" name="TextBox 29">
          <a:hlinkClick xmlns:r="http://schemas.openxmlformats.org/officeDocument/2006/relationships" r:id="rId8"/>
          <a:extLst>
            <a:ext uri="{FF2B5EF4-FFF2-40B4-BE49-F238E27FC236}">
              <a16:creationId xmlns:a16="http://schemas.microsoft.com/office/drawing/2014/main" id="{4F4FF2CC-798C-4EE4-9AF0-67CEA3C1FB0F}"/>
            </a:ext>
          </a:extLst>
        </xdr:cNvPr>
        <xdr:cNvSpPr txBox="1"/>
      </xdr:nvSpPr>
      <xdr:spPr>
        <a:xfrm>
          <a:off x="614516" y="232281"/>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318308</xdr:colOff>
      <xdr:row>1</xdr:row>
      <xdr:rowOff>26848</xdr:rowOff>
    </xdr:from>
    <xdr:to>
      <xdr:col>7</xdr:col>
      <xdr:colOff>441674</xdr:colOff>
      <xdr:row>2</xdr:row>
      <xdr:rowOff>151002</xdr:rowOff>
    </xdr:to>
    <xdr:sp macro="" textlink="">
      <xdr:nvSpPr>
        <xdr:cNvPr id="31" name="TextBox 30">
          <a:hlinkClick xmlns:r="http://schemas.openxmlformats.org/officeDocument/2006/relationships" r:id="rId9"/>
          <a:extLst>
            <a:ext uri="{FF2B5EF4-FFF2-40B4-BE49-F238E27FC236}">
              <a16:creationId xmlns:a16="http://schemas.microsoft.com/office/drawing/2014/main" id="{174DE309-8F24-41D1-84FB-74F60933757C}"/>
            </a:ext>
          </a:extLst>
        </xdr:cNvPr>
        <xdr:cNvSpPr txBox="1"/>
      </xdr:nvSpPr>
      <xdr:spPr>
        <a:xfrm>
          <a:off x="2776373" y="198913"/>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463221</xdr:colOff>
      <xdr:row>1</xdr:row>
      <xdr:rowOff>12282</xdr:rowOff>
    </xdr:from>
    <xdr:to>
      <xdr:col>11</xdr:col>
      <xdr:colOff>321145</xdr:colOff>
      <xdr:row>3</xdr:row>
      <xdr:rowOff>28400</xdr:rowOff>
    </xdr:to>
    <xdr:sp macro="" textlink="">
      <xdr:nvSpPr>
        <xdr:cNvPr id="32" name="TextBox 31">
          <a:hlinkClick xmlns:r="http://schemas.openxmlformats.org/officeDocument/2006/relationships" r:id="rId10"/>
          <a:extLst>
            <a:ext uri="{FF2B5EF4-FFF2-40B4-BE49-F238E27FC236}">
              <a16:creationId xmlns:a16="http://schemas.microsoft.com/office/drawing/2014/main" id="{CC3D72F3-6504-4BCF-B0CD-FBFE85B137DD}"/>
            </a:ext>
          </a:extLst>
        </xdr:cNvPr>
        <xdr:cNvSpPr txBox="1"/>
      </xdr:nvSpPr>
      <xdr:spPr>
        <a:xfrm>
          <a:off x="4764834" y="184347"/>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115799</xdr:colOff>
      <xdr:row>1</xdr:row>
      <xdr:rowOff>9622</xdr:rowOff>
    </xdr:from>
    <xdr:to>
      <xdr:col>14</xdr:col>
      <xdr:colOff>466939</xdr:colOff>
      <xdr:row>2</xdr:row>
      <xdr:rowOff>112004</xdr:rowOff>
    </xdr:to>
    <xdr:sp macro="" textlink="">
      <xdr:nvSpPr>
        <xdr:cNvPr id="33" name="TextBox 32">
          <a:hlinkClick xmlns:r="http://schemas.openxmlformats.org/officeDocument/2006/relationships" r:id="rId11"/>
          <a:extLst>
            <a:ext uri="{FF2B5EF4-FFF2-40B4-BE49-F238E27FC236}">
              <a16:creationId xmlns:a16="http://schemas.microsoft.com/office/drawing/2014/main" id="{5A54DEFE-20BF-4C53-94DD-E79B264B7973}"/>
            </a:ext>
          </a:extLst>
        </xdr:cNvPr>
        <xdr:cNvSpPr txBox="1"/>
      </xdr:nvSpPr>
      <xdr:spPr>
        <a:xfrm>
          <a:off x="6875476" y="181687"/>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14</xdr:col>
      <xdr:colOff>518641</xdr:colOff>
      <xdr:row>1</xdr:row>
      <xdr:rowOff>18260</xdr:rowOff>
    </xdr:from>
    <xdr:to>
      <xdr:col>18</xdr:col>
      <xdr:colOff>16938</xdr:colOff>
      <xdr:row>2</xdr:row>
      <xdr:rowOff>125858</xdr:rowOff>
    </xdr:to>
    <xdr:sp macro="" textlink="">
      <xdr:nvSpPr>
        <xdr:cNvPr id="34" name="TextBox 33">
          <a:hlinkClick xmlns:r="http://schemas.openxmlformats.org/officeDocument/2006/relationships" r:id="rId12"/>
          <a:extLst>
            <a:ext uri="{FF2B5EF4-FFF2-40B4-BE49-F238E27FC236}">
              <a16:creationId xmlns:a16="http://schemas.microsoft.com/office/drawing/2014/main" id="{C6B02622-6FA7-4642-9AC6-C4A514F1F1CD}"/>
            </a:ext>
          </a:extLst>
        </xdr:cNvPr>
        <xdr:cNvSpPr txBox="1"/>
      </xdr:nvSpPr>
      <xdr:spPr>
        <a:xfrm>
          <a:off x="9121867" y="190325"/>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17</xdr:col>
      <xdr:colOff>604462</xdr:colOff>
      <xdr:row>1</xdr:row>
      <xdr:rowOff>18052</xdr:rowOff>
    </xdr:from>
    <xdr:to>
      <xdr:col>22</xdr:col>
      <xdr:colOff>514180</xdr:colOff>
      <xdr:row>2</xdr:row>
      <xdr:rowOff>148315</xdr:rowOff>
    </xdr:to>
    <xdr:sp macro="" textlink="">
      <xdr:nvSpPr>
        <xdr:cNvPr id="35" name="TextBox 34">
          <a:hlinkClick xmlns:r="http://schemas.openxmlformats.org/officeDocument/2006/relationships" r:id="rId13"/>
          <a:extLst>
            <a:ext uri="{FF2B5EF4-FFF2-40B4-BE49-F238E27FC236}">
              <a16:creationId xmlns:a16="http://schemas.microsoft.com/office/drawing/2014/main" id="{EEB65387-8C89-4D8F-93A9-D9F795547A98}"/>
            </a:ext>
          </a:extLst>
        </xdr:cNvPr>
        <xdr:cNvSpPr txBox="1"/>
      </xdr:nvSpPr>
      <xdr:spPr>
        <a:xfrm>
          <a:off x="11051236" y="190117"/>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284056</xdr:colOff>
      <xdr:row>1</xdr:row>
      <xdr:rowOff>14805</xdr:rowOff>
    </xdr:from>
    <xdr:to>
      <xdr:col>26</xdr:col>
      <xdr:colOff>411506</xdr:colOff>
      <xdr:row>2</xdr:row>
      <xdr:rowOff>141959</xdr:rowOff>
    </xdr:to>
    <xdr:sp macro="" textlink="">
      <xdr:nvSpPr>
        <xdr:cNvPr id="36" name="TextBox 35">
          <a:hlinkClick xmlns:r="http://schemas.openxmlformats.org/officeDocument/2006/relationships" r:id="rId14"/>
          <a:extLst>
            <a:ext uri="{FF2B5EF4-FFF2-40B4-BE49-F238E27FC236}">
              <a16:creationId xmlns:a16="http://schemas.microsoft.com/office/drawing/2014/main" id="{791E4E26-5A09-40FC-A439-0A4943A1589A}"/>
            </a:ext>
          </a:extLst>
        </xdr:cNvPr>
        <xdr:cNvSpPr txBox="1"/>
      </xdr:nvSpPr>
      <xdr:spPr>
        <a:xfrm>
          <a:off x="14417927" y="186870"/>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22</xdr:col>
      <xdr:colOff>402222</xdr:colOff>
      <xdr:row>1</xdr:row>
      <xdr:rowOff>0</xdr:rowOff>
    </xdr:from>
    <xdr:to>
      <xdr:col>23</xdr:col>
      <xdr:colOff>265229</xdr:colOff>
      <xdr:row>2</xdr:row>
      <xdr:rowOff>129664</xdr:rowOff>
    </xdr:to>
    <xdr:sp macro="" textlink="">
      <xdr:nvSpPr>
        <xdr:cNvPr id="37" name="TextBox 36">
          <a:hlinkClick xmlns:r="http://schemas.openxmlformats.org/officeDocument/2006/relationships" r:id="rId15"/>
          <a:extLst>
            <a:ext uri="{FF2B5EF4-FFF2-40B4-BE49-F238E27FC236}">
              <a16:creationId xmlns:a16="http://schemas.microsoft.com/office/drawing/2014/main" id="{F6A9CD4B-B110-4354-B62F-6FD6E9D9D6F4}"/>
            </a:ext>
          </a:extLst>
        </xdr:cNvPr>
        <xdr:cNvSpPr txBox="1"/>
      </xdr:nvSpPr>
      <xdr:spPr>
        <a:xfrm>
          <a:off x="13921577" y="172065"/>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151928</xdr:colOff>
      <xdr:row>1</xdr:row>
      <xdr:rowOff>48281</xdr:rowOff>
    </xdr:from>
    <xdr:to>
      <xdr:col>5</xdr:col>
      <xdr:colOff>275293</xdr:colOff>
      <xdr:row>3</xdr:row>
      <xdr:rowOff>370</xdr:rowOff>
    </xdr:to>
    <xdr:sp macro="" textlink="">
      <xdr:nvSpPr>
        <xdr:cNvPr id="38" name="TextBox 37">
          <a:hlinkClick xmlns:r="http://schemas.openxmlformats.org/officeDocument/2006/relationships" r:id="rId16"/>
          <a:extLst>
            <a:ext uri="{FF2B5EF4-FFF2-40B4-BE49-F238E27FC236}">
              <a16:creationId xmlns:a16="http://schemas.microsoft.com/office/drawing/2014/main" id="{8F62C496-F670-4A3B-A55B-4D72E15BE11E}"/>
            </a:ext>
          </a:extLst>
        </xdr:cNvPr>
        <xdr:cNvSpPr txBox="1"/>
      </xdr:nvSpPr>
      <xdr:spPr>
        <a:xfrm>
          <a:off x="1380960" y="220346"/>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80986</xdr:colOff>
      <xdr:row>3</xdr:row>
      <xdr:rowOff>63758</xdr:rowOff>
    </xdr:from>
    <xdr:to>
      <xdr:col>16</xdr:col>
      <xdr:colOff>0</xdr:colOff>
      <xdr:row>8</xdr:row>
      <xdr:rowOff>143969</xdr:rowOff>
    </xdr:to>
    <xdr:sp macro="" textlink="">
      <xdr:nvSpPr>
        <xdr:cNvPr id="2" name="TextBox 1">
          <a:extLst>
            <a:ext uri="{FF2B5EF4-FFF2-40B4-BE49-F238E27FC236}">
              <a16:creationId xmlns:a16="http://schemas.microsoft.com/office/drawing/2014/main" id="{A7497BB6-0017-4101-8D36-504A631BA5DD}"/>
            </a:ext>
          </a:extLst>
        </xdr:cNvPr>
        <xdr:cNvSpPr txBox="1"/>
      </xdr:nvSpPr>
      <xdr:spPr>
        <a:xfrm>
          <a:off x="1278415" y="635258"/>
          <a:ext cx="8301014" cy="1032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Ratio for investors shareholder</a:t>
          </a:r>
        </a:p>
      </xdr:txBody>
    </xdr:sp>
    <xdr:clientData/>
  </xdr:twoCellAnchor>
  <xdr:twoCellAnchor>
    <xdr:from>
      <xdr:col>15</xdr:col>
      <xdr:colOff>81643</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C1BC04A2-947C-4EEE-B5B7-18059D4C6B73}"/>
            </a:ext>
          </a:extLst>
        </xdr:cNvPr>
        <xdr:cNvCxnSpPr/>
      </xdr:nvCxnSpPr>
      <xdr:spPr>
        <a:xfrm>
          <a:off x="9062357" y="1298136"/>
          <a:ext cx="7070829"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DA20DB5F-07DD-440E-9CD4-3AAD09051464}"/>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06</a:t>
          </a:r>
        </a:p>
      </xdr:txBody>
    </xdr:sp>
    <xdr:clientData/>
  </xdr:twoCellAnchor>
  <xdr:twoCellAnchor>
    <xdr:from>
      <xdr:col>2</xdr:col>
      <xdr:colOff>381000</xdr:colOff>
      <xdr:row>26</xdr:row>
      <xdr:rowOff>152399</xdr:rowOff>
    </xdr:from>
    <xdr:to>
      <xdr:col>12</xdr:col>
      <xdr:colOff>338666</xdr:colOff>
      <xdr:row>37</xdr:row>
      <xdr:rowOff>126999</xdr:rowOff>
    </xdr:to>
    <xdr:graphicFrame macro="">
      <xdr:nvGraphicFramePr>
        <xdr:cNvPr id="5" name="Chart 4">
          <a:extLst>
            <a:ext uri="{FF2B5EF4-FFF2-40B4-BE49-F238E27FC236}">
              <a16:creationId xmlns:a16="http://schemas.microsoft.com/office/drawing/2014/main" id="{6184538D-FC27-408F-B6B2-78E0EF257515}"/>
            </a:ext>
            <a:ext uri="{147F2762-F138-4A5C-976F-8EAC2B608ADB}">
              <a16:predDERef xmlns:a16="http://schemas.microsoft.com/office/drawing/2014/main" pred="{DA20DB5F-07DD-440E-9CD4-3AAD09051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6" name="Chart 5">
          <a:extLst>
            <a:ext uri="{FF2B5EF4-FFF2-40B4-BE49-F238E27FC236}">
              <a16:creationId xmlns:a16="http://schemas.microsoft.com/office/drawing/2014/main" id="{706DEA2F-5BEC-49F1-A57F-33A25B69831B}"/>
            </a:ext>
            <a:ext uri="{147F2762-F138-4A5C-976F-8EAC2B608ADB}">
              <a16:predDERef xmlns:a16="http://schemas.microsoft.com/office/drawing/2014/main" pred="{6184538D-FC27-408F-B6B2-78E0EF257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348074</xdr:colOff>
      <xdr:row>54</xdr:row>
      <xdr:rowOff>178741</xdr:rowOff>
    </xdr:from>
    <xdr:to>
      <xdr:col>25</xdr:col>
      <xdr:colOff>305740</xdr:colOff>
      <xdr:row>65</xdr:row>
      <xdr:rowOff>153341</xdr:rowOff>
    </xdr:to>
    <xdr:graphicFrame macro="">
      <xdr:nvGraphicFramePr>
        <xdr:cNvPr id="7" name="Chart 6">
          <a:extLst>
            <a:ext uri="{FF2B5EF4-FFF2-40B4-BE49-F238E27FC236}">
              <a16:creationId xmlns:a16="http://schemas.microsoft.com/office/drawing/2014/main" id="{BAE239D9-2370-4428-A824-7CD490193733}"/>
            </a:ext>
            <a:ext uri="{147F2762-F138-4A5C-976F-8EAC2B608ADB}">
              <a16:predDERef xmlns:a16="http://schemas.microsoft.com/office/drawing/2014/main" pred="{706DEA2F-5BEC-49F1-A57F-33A25B698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294640</xdr:colOff>
      <xdr:row>54</xdr:row>
      <xdr:rowOff>264160</xdr:rowOff>
    </xdr:from>
    <xdr:to>
      <xdr:col>12</xdr:col>
      <xdr:colOff>252306</xdr:colOff>
      <xdr:row>64</xdr:row>
      <xdr:rowOff>154940</xdr:rowOff>
    </xdr:to>
    <xdr:graphicFrame macro="">
      <xdr:nvGraphicFramePr>
        <xdr:cNvPr id="8" name="Chart 7">
          <a:extLst>
            <a:ext uri="{FF2B5EF4-FFF2-40B4-BE49-F238E27FC236}">
              <a16:creationId xmlns:a16="http://schemas.microsoft.com/office/drawing/2014/main" id="{D2EBAA43-CD38-4826-BFC7-556388CF9F8D}"/>
            </a:ext>
            <a:ext uri="{147F2762-F138-4A5C-976F-8EAC2B608ADB}">
              <a16:predDERef xmlns:a16="http://schemas.microsoft.com/office/drawing/2014/main" pred="{BAE239D9-2370-4428-A824-7CD490193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348074</xdr:colOff>
      <xdr:row>82</xdr:row>
      <xdr:rowOff>178741</xdr:rowOff>
    </xdr:from>
    <xdr:to>
      <xdr:col>19</xdr:col>
      <xdr:colOff>305740</xdr:colOff>
      <xdr:row>93</xdr:row>
      <xdr:rowOff>153341</xdr:rowOff>
    </xdr:to>
    <xdr:graphicFrame macro="">
      <xdr:nvGraphicFramePr>
        <xdr:cNvPr id="9" name="Chart 8">
          <a:extLst>
            <a:ext uri="{FF2B5EF4-FFF2-40B4-BE49-F238E27FC236}">
              <a16:creationId xmlns:a16="http://schemas.microsoft.com/office/drawing/2014/main" id="{8B8AD460-984B-4461-9DD5-BD0764896F4C}"/>
            </a:ext>
            <a:ext uri="{147F2762-F138-4A5C-976F-8EAC2B608ADB}">
              <a16:predDERef xmlns:a16="http://schemas.microsoft.com/office/drawing/2014/main" pred="{D2EBAA43-CD38-4826-BFC7-556388CF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xdr:row>
      <xdr:rowOff>60216</xdr:rowOff>
    </xdr:from>
    <xdr:to>
      <xdr:col>2</xdr:col>
      <xdr:colOff>49430</xdr:colOff>
      <xdr:row>3</xdr:row>
      <xdr:rowOff>10504</xdr:rowOff>
    </xdr:to>
    <xdr:sp macro="" textlink="">
      <xdr:nvSpPr>
        <xdr:cNvPr id="12" name="TextBox 11">
          <a:hlinkClick xmlns:r="http://schemas.openxmlformats.org/officeDocument/2006/relationships" r:id="rId6"/>
          <a:extLst>
            <a:ext uri="{FF2B5EF4-FFF2-40B4-BE49-F238E27FC236}">
              <a16:creationId xmlns:a16="http://schemas.microsoft.com/office/drawing/2014/main" id="{9AD9F093-96B0-400B-BA73-A02C1E645CBB}"/>
            </a:ext>
          </a:extLst>
        </xdr:cNvPr>
        <xdr:cNvSpPr txBox="1"/>
      </xdr:nvSpPr>
      <xdr:spPr>
        <a:xfrm>
          <a:off x="612913" y="242433"/>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323118</xdr:colOff>
      <xdr:row>1</xdr:row>
      <xdr:rowOff>26848</xdr:rowOff>
    </xdr:from>
    <xdr:to>
      <xdr:col>7</xdr:col>
      <xdr:colOff>451293</xdr:colOff>
      <xdr:row>2</xdr:row>
      <xdr:rowOff>140848</xdr:rowOff>
    </xdr:to>
    <xdr:sp macro="" textlink="">
      <xdr:nvSpPr>
        <xdr:cNvPr id="13" name="TextBox 12">
          <a:hlinkClick xmlns:r="http://schemas.openxmlformats.org/officeDocument/2006/relationships" r:id="rId7"/>
          <a:extLst>
            <a:ext uri="{FF2B5EF4-FFF2-40B4-BE49-F238E27FC236}">
              <a16:creationId xmlns:a16="http://schemas.microsoft.com/office/drawing/2014/main" id="{A51BB59F-5299-45FC-9634-ACD9A3793079}"/>
            </a:ext>
          </a:extLst>
        </xdr:cNvPr>
        <xdr:cNvSpPr txBox="1"/>
      </xdr:nvSpPr>
      <xdr:spPr>
        <a:xfrm>
          <a:off x="2774770" y="209065"/>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472840</xdr:colOff>
      <xdr:row>1</xdr:row>
      <xdr:rowOff>12282</xdr:rowOff>
    </xdr:from>
    <xdr:to>
      <xdr:col>11</xdr:col>
      <xdr:colOff>337176</xdr:colOff>
      <xdr:row>3</xdr:row>
      <xdr:rowOff>8094</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465CEE27-6D55-40D4-B260-E0E7684B1583}"/>
            </a:ext>
          </a:extLst>
        </xdr:cNvPr>
        <xdr:cNvSpPr txBox="1"/>
      </xdr:nvSpPr>
      <xdr:spPr>
        <a:xfrm>
          <a:off x="4763231" y="194499"/>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131830</xdr:colOff>
      <xdr:row>1</xdr:row>
      <xdr:rowOff>9622</xdr:rowOff>
    </xdr:from>
    <xdr:to>
      <xdr:col>14</xdr:col>
      <xdr:colOff>487779</xdr:colOff>
      <xdr:row>2</xdr:row>
      <xdr:rowOff>101850</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48FFF672-1704-4CDE-BCA6-44DDC4EC3474}"/>
            </a:ext>
          </a:extLst>
        </xdr:cNvPr>
        <xdr:cNvSpPr txBox="1"/>
      </xdr:nvSpPr>
      <xdr:spPr>
        <a:xfrm>
          <a:off x="6873873" y="191839"/>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14</xdr:col>
      <xdr:colOff>539481</xdr:colOff>
      <xdr:row>1</xdr:row>
      <xdr:rowOff>18260</xdr:rowOff>
    </xdr:from>
    <xdr:to>
      <xdr:col>18</xdr:col>
      <xdr:colOff>44190</xdr:colOff>
      <xdr:row>2</xdr:row>
      <xdr:rowOff>115704</xdr:rowOff>
    </xdr:to>
    <xdr:sp macro="" textlink="">
      <xdr:nvSpPr>
        <xdr:cNvPr id="16" name="TextBox 15">
          <a:hlinkClick xmlns:r="http://schemas.openxmlformats.org/officeDocument/2006/relationships" r:id="rId10"/>
          <a:extLst>
            <a:ext uri="{FF2B5EF4-FFF2-40B4-BE49-F238E27FC236}">
              <a16:creationId xmlns:a16="http://schemas.microsoft.com/office/drawing/2014/main" id="{76C8E64F-95B3-4677-A664-23BD494A17BC}"/>
            </a:ext>
          </a:extLst>
        </xdr:cNvPr>
        <xdr:cNvSpPr txBox="1"/>
      </xdr:nvSpPr>
      <xdr:spPr>
        <a:xfrm>
          <a:off x="9120264" y="200477"/>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17198</xdr:colOff>
      <xdr:row>1</xdr:row>
      <xdr:rowOff>18052</xdr:rowOff>
    </xdr:from>
    <xdr:to>
      <xdr:col>22</xdr:col>
      <xdr:colOff>547845</xdr:colOff>
      <xdr:row>2</xdr:row>
      <xdr:rowOff>138161</xdr:rowOff>
    </xdr:to>
    <xdr:sp macro="" textlink="">
      <xdr:nvSpPr>
        <xdr:cNvPr id="17" name="TextBox 16">
          <a:hlinkClick xmlns:r="http://schemas.openxmlformats.org/officeDocument/2006/relationships" r:id="rId11"/>
          <a:extLst>
            <a:ext uri="{FF2B5EF4-FFF2-40B4-BE49-F238E27FC236}">
              <a16:creationId xmlns:a16="http://schemas.microsoft.com/office/drawing/2014/main" id="{F78356D8-32F5-4994-B7CB-667C2C9D688F}"/>
            </a:ext>
          </a:extLst>
        </xdr:cNvPr>
        <xdr:cNvSpPr txBox="1"/>
      </xdr:nvSpPr>
      <xdr:spPr>
        <a:xfrm>
          <a:off x="11049633" y="200269"/>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319324</xdr:colOff>
      <xdr:row>1</xdr:row>
      <xdr:rowOff>14805</xdr:rowOff>
    </xdr:from>
    <xdr:to>
      <xdr:col>26</xdr:col>
      <xdr:colOff>451583</xdr:colOff>
      <xdr:row>2</xdr:row>
      <xdr:rowOff>131805</xdr:rowOff>
    </xdr:to>
    <xdr:sp macro="" textlink="">
      <xdr:nvSpPr>
        <xdr:cNvPr id="18" name="TextBox 17">
          <a:hlinkClick xmlns:r="http://schemas.openxmlformats.org/officeDocument/2006/relationships" r:id="rId12"/>
          <a:extLst>
            <a:ext uri="{FF2B5EF4-FFF2-40B4-BE49-F238E27FC236}">
              <a16:creationId xmlns:a16="http://schemas.microsoft.com/office/drawing/2014/main" id="{D2BBF0D0-5AB0-4666-8ED8-069CFABE2A0F}"/>
            </a:ext>
          </a:extLst>
        </xdr:cNvPr>
        <xdr:cNvSpPr txBox="1"/>
      </xdr:nvSpPr>
      <xdr:spPr>
        <a:xfrm>
          <a:off x="14416324" y="197022"/>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22</xdr:col>
      <xdr:colOff>435887</xdr:colOff>
      <xdr:row>1</xdr:row>
      <xdr:rowOff>0</xdr:rowOff>
    </xdr:from>
    <xdr:to>
      <xdr:col>23</xdr:col>
      <xdr:colOff>300497</xdr:colOff>
      <xdr:row>2</xdr:row>
      <xdr:rowOff>119510</xdr:rowOff>
    </xdr:to>
    <xdr:sp macro="" textlink="">
      <xdr:nvSpPr>
        <xdr:cNvPr id="19" name="TextBox 18">
          <a:hlinkClick xmlns:r="http://schemas.openxmlformats.org/officeDocument/2006/relationships" r:id="rId13"/>
          <a:extLst>
            <a:ext uri="{FF2B5EF4-FFF2-40B4-BE49-F238E27FC236}">
              <a16:creationId xmlns:a16="http://schemas.microsoft.com/office/drawing/2014/main" id="{92E246C3-0D09-451B-B1FA-CD51CACB9A0D}"/>
            </a:ext>
          </a:extLst>
        </xdr:cNvPr>
        <xdr:cNvSpPr txBox="1"/>
      </xdr:nvSpPr>
      <xdr:spPr>
        <a:xfrm>
          <a:off x="13919974" y="182217"/>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153531</xdr:colOff>
      <xdr:row>1</xdr:row>
      <xdr:rowOff>48281</xdr:rowOff>
    </xdr:from>
    <xdr:to>
      <xdr:col>5</xdr:col>
      <xdr:colOff>281706</xdr:colOff>
      <xdr:row>2</xdr:row>
      <xdr:rowOff>162281</xdr:rowOff>
    </xdr:to>
    <xdr:sp macro="" textlink="">
      <xdr:nvSpPr>
        <xdr:cNvPr id="20" name="TextBox 19">
          <a:hlinkClick xmlns:r="http://schemas.openxmlformats.org/officeDocument/2006/relationships" r:id="rId14"/>
          <a:extLst>
            <a:ext uri="{FF2B5EF4-FFF2-40B4-BE49-F238E27FC236}">
              <a16:creationId xmlns:a16="http://schemas.microsoft.com/office/drawing/2014/main" id="{D4B1A3FD-3C39-43FD-838B-07CFC8F93BF8}"/>
            </a:ext>
          </a:extLst>
        </xdr:cNvPr>
        <xdr:cNvSpPr txBox="1"/>
      </xdr:nvSpPr>
      <xdr:spPr>
        <a:xfrm>
          <a:off x="1379357" y="230498"/>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80986</xdr:colOff>
      <xdr:row>3</xdr:row>
      <xdr:rowOff>63758</xdr:rowOff>
    </xdr:from>
    <xdr:to>
      <xdr:col>15</xdr:col>
      <xdr:colOff>381000</xdr:colOff>
      <xdr:row>9</xdr:row>
      <xdr:rowOff>143969</xdr:rowOff>
    </xdr:to>
    <xdr:sp macro="" textlink="">
      <xdr:nvSpPr>
        <xdr:cNvPr id="2" name="TextBox 1">
          <a:extLst>
            <a:ext uri="{FF2B5EF4-FFF2-40B4-BE49-F238E27FC236}">
              <a16:creationId xmlns:a16="http://schemas.microsoft.com/office/drawing/2014/main" id="{91C43CB3-D77A-474D-9E86-05F79DAE6C16}"/>
            </a:ext>
          </a:extLst>
        </xdr:cNvPr>
        <xdr:cNvSpPr txBox="1"/>
      </xdr:nvSpPr>
      <xdr:spPr>
        <a:xfrm>
          <a:off x="1291221" y="601640"/>
          <a:ext cx="8166544" cy="1155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000" b="1" i="0" cap="all" spc="-300" baseline="0">
              <a:solidFill>
                <a:schemeClr val="tx1"/>
              </a:solidFill>
              <a:effectLst/>
              <a:latin typeface="Barlow Condensed" panose="00000506000000000000" pitchFamily="2" charset="0"/>
              <a:ea typeface="+mn-ea"/>
              <a:cs typeface="+mn-cs"/>
            </a:rPr>
            <a:t>Statement of Financial Structure</a:t>
          </a:r>
        </a:p>
      </xdr:txBody>
    </xdr:sp>
    <xdr:clientData/>
  </xdr:twoCellAnchor>
  <xdr:twoCellAnchor>
    <xdr:from>
      <xdr:col>15</xdr:col>
      <xdr:colOff>268941</xdr:colOff>
      <xdr:row>6</xdr:row>
      <xdr:rowOff>155136</xdr:rowOff>
    </xdr:from>
    <xdr:to>
      <xdr:col>26</xdr:col>
      <xdr:colOff>566615</xdr:colOff>
      <xdr:row>6</xdr:row>
      <xdr:rowOff>155136</xdr:rowOff>
    </xdr:to>
    <xdr:cxnSp macro="">
      <xdr:nvCxnSpPr>
        <xdr:cNvPr id="3" name="Straight Connector 2">
          <a:extLst>
            <a:ext uri="{FF2B5EF4-FFF2-40B4-BE49-F238E27FC236}">
              <a16:creationId xmlns:a16="http://schemas.microsoft.com/office/drawing/2014/main" id="{7FE6F735-D123-4B26-BA11-1226CBFB459D}"/>
            </a:ext>
          </a:extLst>
        </xdr:cNvPr>
        <xdr:cNvCxnSpPr/>
      </xdr:nvCxnSpPr>
      <xdr:spPr>
        <a:xfrm>
          <a:off x="9345706" y="1230901"/>
          <a:ext cx="6953968" cy="0"/>
        </a:xfrm>
        <a:prstGeom prst="line">
          <a:avLst/>
        </a:prstGeom>
        <a:ln>
          <a:solidFill>
            <a:srgbClr val="47474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235645</xdr:colOff>
      <xdr:row>5</xdr:row>
      <xdr:rowOff>10861</xdr:rowOff>
    </xdr:from>
    <xdr:to>
      <xdr:col>2</xdr:col>
      <xdr:colOff>123232</xdr:colOff>
      <xdr:row>7</xdr:row>
      <xdr:rowOff>97124</xdr:rowOff>
    </xdr:to>
    <xdr:sp macro="" textlink="">
      <xdr:nvSpPr>
        <xdr:cNvPr id="4" name="TextBox 3">
          <a:extLst>
            <a:ext uri="{FF2B5EF4-FFF2-40B4-BE49-F238E27FC236}">
              <a16:creationId xmlns:a16="http://schemas.microsoft.com/office/drawing/2014/main" id="{C2B0E345-2D77-42EC-B177-DB29DE990712}"/>
            </a:ext>
          </a:extLst>
        </xdr:cNvPr>
        <xdr:cNvSpPr txBox="1"/>
      </xdr:nvSpPr>
      <xdr:spPr>
        <a:xfrm>
          <a:off x="845245" y="925261"/>
          <a:ext cx="497187" cy="45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2000" b="0" i="0" cap="all">
              <a:solidFill>
                <a:srgbClr val="E8001A"/>
              </a:solidFill>
              <a:effectLst/>
              <a:latin typeface="Barlow Condensed" panose="00000506000000000000" pitchFamily="2" charset="0"/>
            </a:rPr>
            <a:t>07</a:t>
          </a:r>
        </a:p>
      </xdr:txBody>
    </xdr:sp>
    <xdr:clientData/>
  </xdr:twoCellAnchor>
  <xdr:twoCellAnchor>
    <xdr:from>
      <xdr:col>15</xdr:col>
      <xdr:colOff>348074</xdr:colOff>
      <xdr:row>26</xdr:row>
      <xdr:rowOff>178741</xdr:rowOff>
    </xdr:from>
    <xdr:to>
      <xdr:col>25</xdr:col>
      <xdr:colOff>305740</xdr:colOff>
      <xdr:row>37</xdr:row>
      <xdr:rowOff>153341</xdr:rowOff>
    </xdr:to>
    <xdr:graphicFrame macro="">
      <xdr:nvGraphicFramePr>
        <xdr:cNvPr id="5" name="Chart 4">
          <a:extLst>
            <a:ext uri="{FF2B5EF4-FFF2-40B4-BE49-F238E27FC236}">
              <a16:creationId xmlns:a16="http://schemas.microsoft.com/office/drawing/2014/main" id="{7F9D274D-B13B-4B20-86DE-BD5DA86C9F7D}"/>
            </a:ext>
            <a:ext uri="{147F2762-F138-4A5C-976F-8EAC2B608ADB}">
              <a16:predDERef xmlns:a16="http://schemas.microsoft.com/office/drawing/2014/main" pred="{C2B0E345-2D77-42EC-B177-DB29DE990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294640</xdr:colOff>
      <xdr:row>26</xdr:row>
      <xdr:rowOff>264160</xdr:rowOff>
    </xdr:from>
    <xdr:to>
      <xdr:col>12</xdr:col>
      <xdr:colOff>252306</xdr:colOff>
      <xdr:row>36</xdr:row>
      <xdr:rowOff>154940</xdr:rowOff>
    </xdr:to>
    <xdr:graphicFrame macro="">
      <xdr:nvGraphicFramePr>
        <xdr:cNvPr id="6" name="Chart 5">
          <a:extLst>
            <a:ext uri="{FF2B5EF4-FFF2-40B4-BE49-F238E27FC236}">
              <a16:creationId xmlns:a16="http://schemas.microsoft.com/office/drawing/2014/main" id="{16B61174-35B0-41A8-957B-33A3A2D00019}"/>
            </a:ext>
            <a:ext uri="{147F2762-F138-4A5C-976F-8EAC2B608ADB}">
              <a16:predDERef xmlns:a16="http://schemas.microsoft.com/office/drawing/2014/main" pred="{7F9D274D-B13B-4B20-86DE-BD5DA86C9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54</xdr:row>
      <xdr:rowOff>152399</xdr:rowOff>
    </xdr:from>
    <xdr:to>
      <xdr:col>12</xdr:col>
      <xdr:colOff>338666</xdr:colOff>
      <xdr:row>65</xdr:row>
      <xdr:rowOff>126999</xdr:rowOff>
    </xdr:to>
    <xdr:graphicFrame macro="">
      <xdr:nvGraphicFramePr>
        <xdr:cNvPr id="7" name="Chart 6">
          <a:extLst>
            <a:ext uri="{FF2B5EF4-FFF2-40B4-BE49-F238E27FC236}">
              <a16:creationId xmlns:a16="http://schemas.microsoft.com/office/drawing/2014/main" id="{CDD245AC-60A7-4586-941E-03A4933B7FE4}"/>
            </a:ext>
            <a:ext uri="{147F2762-F138-4A5C-976F-8EAC2B608ADB}">
              <a16:predDERef xmlns:a16="http://schemas.microsoft.com/office/drawing/2014/main" pred="{16B61174-35B0-41A8-957B-33A3A2D00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348074</xdr:colOff>
      <xdr:row>54</xdr:row>
      <xdr:rowOff>178741</xdr:rowOff>
    </xdr:from>
    <xdr:to>
      <xdr:col>25</xdr:col>
      <xdr:colOff>305740</xdr:colOff>
      <xdr:row>65</xdr:row>
      <xdr:rowOff>153341</xdr:rowOff>
    </xdr:to>
    <xdr:graphicFrame macro="">
      <xdr:nvGraphicFramePr>
        <xdr:cNvPr id="8" name="Chart 7">
          <a:extLst>
            <a:ext uri="{FF2B5EF4-FFF2-40B4-BE49-F238E27FC236}">
              <a16:creationId xmlns:a16="http://schemas.microsoft.com/office/drawing/2014/main" id="{F5C88F5F-6FD4-42EE-A097-92FD81A576C1}"/>
            </a:ext>
            <a:ext uri="{147F2762-F138-4A5C-976F-8EAC2B608ADB}">
              <a16:predDERef xmlns:a16="http://schemas.microsoft.com/office/drawing/2014/main" pred="{CDD245AC-60A7-4586-941E-03A4933B7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348074</xdr:colOff>
      <xdr:row>82</xdr:row>
      <xdr:rowOff>178741</xdr:rowOff>
    </xdr:from>
    <xdr:to>
      <xdr:col>25</xdr:col>
      <xdr:colOff>305740</xdr:colOff>
      <xdr:row>93</xdr:row>
      <xdr:rowOff>153341</xdr:rowOff>
    </xdr:to>
    <xdr:graphicFrame macro="">
      <xdr:nvGraphicFramePr>
        <xdr:cNvPr id="14" name="Chart 13">
          <a:extLst>
            <a:ext uri="{FF2B5EF4-FFF2-40B4-BE49-F238E27FC236}">
              <a16:creationId xmlns:a16="http://schemas.microsoft.com/office/drawing/2014/main" id="{1BC82C06-17A0-42A3-9842-088596E03AE5}"/>
            </a:ext>
            <a:ext uri="{147F2762-F138-4A5C-976F-8EAC2B608ADB}">
              <a16:predDERef xmlns:a16="http://schemas.microsoft.com/office/drawing/2014/main" pred="{F5C88F5F-6FD4-42EE-A097-92FD81A5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294640</xdr:colOff>
      <xdr:row>82</xdr:row>
      <xdr:rowOff>264160</xdr:rowOff>
    </xdr:from>
    <xdr:to>
      <xdr:col>12</xdr:col>
      <xdr:colOff>252306</xdr:colOff>
      <xdr:row>92</xdr:row>
      <xdr:rowOff>154940</xdr:rowOff>
    </xdr:to>
    <xdr:graphicFrame macro="">
      <xdr:nvGraphicFramePr>
        <xdr:cNvPr id="15" name="Chart 14">
          <a:extLst>
            <a:ext uri="{FF2B5EF4-FFF2-40B4-BE49-F238E27FC236}">
              <a16:creationId xmlns:a16="http://schemas.microsoft.com/office/drawing/2014/main" id="{08493526-C2BA-411C-BFD7-BDBA9834C379}"/>
            </a:ext>
            <a:ext uri="{147F2762-F138-4A5C-976F-8EAC2B608ADB}">
              <a16:predDERef xmlns:a16="http://schemas.microsoft.com/office/drawing/2014/main" pred="{1BC82C06-17A0-42A3-9842-088596E03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381000</xdr:colOff>
      <xdr:row>110</xdr:row>
      <xdr:rowOff>152399</xdr:rowOff>
    </xdr:from>
    <xdr:to>
      <xdr:col>12</xdr:col>
      <xdr:colOff>338666</xdr:colOff>
      <xdr:row>121</xdr:row>
      <xdr:rowOff>126999</xdr:rowOff>
    </xdr:to>
    <xdr:graphicFrame macro="">
      <xdr:nvGraphicFramePr>
        <xdr:cNvPr id="16" name="Chart 15">
          <a:extLst>
            <a:ext uri="{FF2B5EF4-FFF2-40B4-BE49-F238E27FC236}">
              <a16:creationId xmlns:a16="http://schemas.microsoft.com/office/drawing/2014/main" id="{94972D7F-D6A7-4C6B-ACE1-AB8B87EE1BC4}"/>
            </a:ext>
            <a:ext uri="{147F2762-F138-4A5C-976F-8EAC2B608ADB}">
              <a16:predDERef xmlns:a16="http://schemas.microsoft.com/office/drawing/2014/main" pred="{08493526-C2BA-411C-BFD7-BDBA9834C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348074</xdr:colOff>
      <xdr:row>110</xdr:row>
      <xdr:rowOff>178741</xdr:rowOff>
    </xdr:from>
    <xdr:to>
      <xdr:col>25</xdr:col>
      <xdr:colOff>305740</xdr:colOff>
      <xdr:row>121</xdr:row>
      <xdr:rowOff>153341</xdr:rowOff>
    </xdr:to>
    <xdr:graphicFrame macro="">
      <xdr:nvGraphicFramePr>
        <xdr:cNvPr id="17" name="Chart 16">
          <a:extLst>
            <a:ext uri="{FF2B5EF4-FFF2-40B4-BE49-F238E27FC236}">
              <a16:creationId xmlns:a16="http://schemas.microsoft.com/office/drawing/2014/main" id="{78A588FF-D829-47CF-A0A6-D0F7F5C07F05}"/>
            </a:ext>
            <a:ext uri="{147F2762-F138-4A5C-976F-8EAC2B608ADB}">
              <a16:predDERef xmlns:a16="http://schemas.microsoft.com/office/drawing/2014/main" pred="{94972D7F-D6A7-4C6B-ACE1-AB8B87EE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348074</xdr:colOff>
      <xdr:row>138</xdr:row>
      <xdr:rowOff>178741</xdr:rowOff>
    </xdr:from>
    <xdr:to>
      <xdr:col>19</xdr:col>
      <xdr:colOff>305740</xdr:colOff>
      <xdr:row>149</xdr:row>
      <xdr:rowOff>153341</xdr:rowOff>
    </xdr:to>
    <xdr:graphicFrame macro="">
      <xdr:nvGraphicFramePr>
        <xdr:cNvPr id="18" name="Chart 17">
          <a:extLst>
            <a:ext uri="{FF2B5EF4-FFF2-40B4-BE49-F238E27FC236}">
              <a16:creationId xmlns:a16="http://schemas.microsoft.com/office/drawing/2014/main" id="{6D37E5A7-EB33-4000-8D59-0F08FDD9D856}"/>
            </a:ext>
            <a:ext uri="{147F2762-F138-4A5C-976F-8EAC2B608ADB}">
              <a16:predDERef xmlns:a16="http://schemas.microsoft.com/office/drawing/2014/main" pred="{78A588FF-D829-47CF-A0A6-D0F7F5C07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xdr:row>
      <xdr:rowOff>60216</xdr:rowOff>
    </xdr:from>
    <xdr:to>
      <xdr:col>2</xdr:col>
      <xdr:colOff>59832</xdr:colOff>
      <xdr:row>3</xdr:row>
      <xdr:rowOff>20520</xdr:rowOff>
    </xdr:to>
    <xdr:sp macro="" textlink="">
      <xdr:nvSpPr>
        <xdr:cNvPr id="20" name="TextBox 19">
          <a:hlinkClick xmlns:r="http://schemas.openxmlformats.org/officeDocument/2006/relationships" r:id="rId10"/>
          <a:extLst>
            <a:ext uri="{FF2B5EF4-FFF2-40B4-BE49-F238E27FC236}">
              <a16:creationId xmlns:a16="http://schemas.microsoft.com/office/drawing/2014/main" id="{EFCB677D-337E-4DA9-BD1B-5CDBF62B8EDF}"/>
            </a:ext>
          </a:extLst>
        </xdr:cNvPr>
        <xdr:cNvSpPr txBox="1"/>
      </xdr:nvSpPr>
      <xdr:spPr>
        <a:xfrm>
          <a:off x="602512" y="237425"/>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354322</xdr:colOff>
      <xdr:row>1</xdr:row>
      <xdr:rowOff>26848</xdr:rowOff>
    </xdr:from>
    <xdr:to>
      <xdr:col>7</xdr:col>
      <xdr:colOff>513702</xdr:colOff>
      <xdr:row>2</xdr:row>
      <xdr:rowOff>145856</xdr:rowOff>
    </xdr:to>
    <xdr:sp macro="" textlink="">
      <xdr:nvSpPr>
        <xdr:cNvPr id="21" name="TextBox 20">
          <a:hlinkClick xmlns:r="http://schemas.openxmlformats.org/officeDocument/2006/relationships" r:id="rId11"/>
          <a:extLst>
            <a:ext uri="{FF2B5EF4-FFF2-40B4-BE49-F238E27FC236}">
              <a16:creationId xmlns:a16="http://schemas.microsoft.com/office/drawing/2014/main" id="{9349DA8D-01E6-47C1-B847-7D3648499523}"/>
            </a:ext>
          </a:extLst>
        </xdr:cNvPr>
        <xdr:cNvSpPr txBox="1"/>
      </xdr:nvSpPr>
      <xdr:spPr>
        <a:xfrm>
          <a:off x="2764369" y="204057"/>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7</xdr:col>
      <xdr:colOff>535249</xdr:colOff>
      <xdr:row>1</xdr:row>
      <xdr:rowOff>12282</xdr:rowOff>
    </xdr:from>
    <xdr:to>
      <xdr:col>11</xdr:col>
      <xdr:colOff>441190</xdr:colOff>
      <xdr:row>3</xdr:row>
      <xdr:rowOff>18110</xdr:rowOff>
    </xdr:to>
    <xdr:sp macro="" textlink="">
      <xdr:nvSpPr>
        <xdr:cNvPr id="22" name="TextBox 21">
          <a:hlinkClick xmlns:r="http://schemas.openxmlformats.org/officeDocument/2006/relationships" r:id="rId12"/>
          <a:extLst>
            <a:ext uri="{FF2B5EF4-FFF2-40B4-BE49-F238E27FC236}">
              <a16:creationId xmlns:a16="http://schemas.microsoft.com/office/drawing/2014/main" id="{D0E0DADF-53C5-41CD-A471-BFFAE12426C5}"/>
            </a:ext>
          </a:extLst>
        </xdr:cNvPr>
        <xdr:cNvSpPr txBox="1"/>
      </xdr:nvSpPr>
      <xdr:spPr>
        <a:xfrm>
          <a:off x="4752830" y="189491"/>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11</xdr:col>
      <xdr:colOff>235844</xdr:colOff>
      <xdr:row>1</xdr:row>
      <xdr:rowOff>9622</xdr:rowOff>
    </xdr:from>
    <xdr:to>
      <xdr:col>15</xdr:col>
      <xdr:colOff>20487</xdr:colOff>
      <xdr:row>2</xdr:row>
      <xdr:rowOff>106858</xdr:rowOff>
    </xdr:to>
    <xdr:sp macro="" textlink="">
      <xdr:nvSpPr>
        <xdr:cNvPr id="23" name="TextBox 22">
          <a:hlinkClick xmlns:r="http://schemas.openxmlformats.org/officeDocument/2006/relationships" r:id="rId13"/>
          <a:extLst>
            <a:ext uri="{FF2B5EF4-FFF2-40B4-BE49-F238E27FC236}">
              <a16:creationId xmlns:a16="http://schemas.microsoft.com/office/drawing/2014/main" id="{E3DF4A9C-0678-4D24-8C83-3BF13662D653}"/>
            </a:ext>
          </a:extLst>
        </xdr:cNvPr>
        <xdr:cNvSpPr txBox="1"/>
      </xdr:nvSpPr>
      <xdr:spPr>
        <a:xfrm>
          <a:off x="6863472" y="186831"/>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15</xdr:col>
      <xdr:colOff>72189</xdr:colOff>
      <xdr:row>1</xdr:row>
      <xdr:rowOff>18260</xdr:rowOff>
    </xdr:from>
    <xdr:to>
      <xdr:col>18</xdr:col>
      <xdr:colOff>221015</xdr:colOff>
      <xdr:row>2</xdr:row>
      <xdr:rowOff>120712</xdr:rowOff>
    </xdr:to>
    <xdr:sp macro="" textlink="">
      <xdr:nvSpPr>
        <xdr:cNvPr id="24" name="TextBox 23">
          <a:hlinkClick xmlns:r="http://schemas.openxmlformats.org/officeDocument/2006/relationships" r:id="rId14"/>
          <a:extLst>
            <a:ext uri="{FF2B5EF4-FFF2-40B4-BE49-F238E27FC236}">
              <a16:creationId xmlns:a16="http://schemas.microsoft.com/office/drawing/2014/main" id="{1300813B-2071-46F3-93B3-815D53A214A7}"/>
            </a:ext>
          </a:extLst>
        </xdr:cNvPr>
        <xdr:cNvSpPr txBox="1"/>
      </xdr:nvSpPr>
      <xdr:spPr>
        <a:xfrm>
          <a:off x="9109863" y="195469"/>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18</xdr:col>
      <xdr:colOff>194023</xdr:colOff>
      <xdr:row>1</xdr:row>
      <xdr:rowOff>18052</xdr:rowOff>
    </xdr:from>
    <xdr:to>
      <xdr:col>23</xdr:col>
      <xdr:colOff>163764</xdr:colOff>
      <xdr:row>2</xdr:row>
      <xdr:rowOff>143169</xdr:rowOff>
    </xdr:to>
    <xdr:sp macro="" textlink="">
      <xdr:nvSpPr>
        <xdr:cNvPr id="25" name="TextBox 24">
          <a:hlinkClick xmlns:r="http://schemas.openxmlformats.org/officeDocument/2006/relationships" r:id="rId15"/>
          <a:extLst>
            <a:ext uri="{FF2B5EF4-FFF2-40B4-BE49-F238E27FC236}">
              <a16:creationId xmlns:a16="http://schemas.microsoft.com/office/drawing/2014/main" id="{2517CD79-F17D-4CB8-AC66-5706D0EB3A67}"/>
            </a:ext>
          </a:extLst>
        </xdr:cNvPr>
        <xdr:cNvSpPr txBox="1"/>
      </xdr:nvSpPr>
      <xdr:spPr>
        <a:xfrm>
          <a:off x="11039232" y="195261"/>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548156</xdr:colOff>
      <xdr:row>1</xdr:row>
      <xdr:rowOff>14805</xdr:rowOff>
    </xdr:from>
    <xdr:to>
      <xdr:col>27</xdr:col>
      <xdr:colOff>109107</xdr:colOff>
      <xdr:row>2</xdr:row>
      <xdr:rowOff>136813</xdr:rowOff>
    </xdr:to>
    <xdr:sp macro="" textlink="">
      <xdr:nvSpPr>
        <xdr:cNvPr id="26" name="TextBox 25">
          <a:hlinkClick xmlns:r="http://schemas.openxmlformats.org/officeDocument/2006/relationships" r:id="rId16"/>
          <a:extLst>
            <a:ext uri="{FF2B5EF4-FFF2-40B4-BE49-F238E27FC236}">
              <a16:creationId xmlns:a16="http://schemas.microsoft.com/office/drawing/2014/main" id="{6B2DBC4D-79A3-4008-99DA-4F7DA353FAF1}"/>
            </a:ext>
          </a:extLst>
        </xdr:cNvPr>
        <xdr:cNvSpPr txBox="1"/>
      </xdr:nvSpPr>
      <xdr:spPr>
        <a:xfrm>
          <a:off x="14405923" y="192014"/>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23</xdr:col>
      <xdr:colOff>51806</xdr:colOff>
      <xdr:row>1</xdr:row>
      <xdr:rowOff>0</xdr:rowOff>
    </xdr:from>
    <xdr:to>
      <xdr:col>23</xdr:col>
      <xdr:colOff>529329</xdr:colOff>
      <xdr:row>2</xdr:row>
      <xdr:rowOff>124518</xdr:rowOff>
    </xdr:to>
    <xdr:sp macro="" textlink="">
      <xdr:nvSpPr>
        <xdr:cNvPr id="27" name="TextBox 26">
          <a:hlinkClick xmlns:r="http://schemas.openxmlformats.org/officeDocument/2006/relationships" r:id="rId17"/>
          <a:extLst>
            <a:ext uri="{FF2B5EF4-FFF2-40B4-BE49-F238E27FC236}">
              <a16:creationId xmlns:a16="http://schemas.microsoft.com/office/drawing/2014/main" id="{5F86BA69-8CCA-4C46-970C-7792BB1AF462}"/>
            </a:ext>
          </a:extLst>
        </xdr:cNvPr>
        <xdr:cNvSpPr txBox="1"/>
      </xdr:nvSpPr>
      <xdr:spPr>
        <a:xfrm>
          <a:off x="13909573" y="177209"/>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2</xdr:col>
      <xdr:colOff>163933</xdr:colOff>
      <xdr:row>1</xdr:row>
      <xdr:rowOff>48281</xdr:rowOff>
    </xdr:from>
    <xdr:to>
      <xdr:col>5</xdr:col>
      <xdr:colOff>323312</xdr:colOff>
      <xdr:row>2</xdr:row>
      <xdr:rowOff>167289</xdr:rowOff>
    </xdr:to>
    <xdr:sp macro="" textlink="">
      <xdr:nvSpPr>
        <xdr:cNvPr id="28" name="TextBox 27">
          <a:hlinkClick xmlns:r="http://schemas.openxmlformats.org/officeDocument/2006/relationships" r:id="rId18"/>
          <a:extLst>
            <a:ext uri="{FF2B5EF4-FFF2-40B4-BE49-F238E27FC236}">
              <a16:creationId xmlns:a16="http://schemas.microsoft.com/office/drawing/2014/main" id="{35697AA0-F5A0-4D56-84CA-AE9CC401F5B3}"/>
            </a:ext>
          </a:extLst>
        </xdr:cNvPr>
        <xdr:cNvSpPr txBox="1"/>
      </xdr:nvSpPr>
      <xdr:spPr>
        <a:xfrm>
          <a:off x="1368956" y="225490"/>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97117</xdr:colOff>
      <xdr:row>0</xdr:row>
      <xdr:rowOff>75157</xdr:rowOff>
    </xdr:from>
    <xdr:to>
      <xdr:col>0</xdr:col>
      <xdr:colOff>759460</xdr:colOff>
      <xdr:row>2</xdr:row>
      <xdr:rowOff>31292</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0DB5CBFF-020A-4E60-AF5B-DB648D87D96D}"/>
            </a:ext>
          </a:extLst>
        </xdr:cNvPr>
        <xdr:cNvSpPr txBox="1"/>
      </xdr:nvSpPr>
      <xdr:spPr>
        <a:xfrm>
          <a:off x="97117" y="75157"/>
          <a:ext cx="662343" cy="3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MENU</a:t>
          </a:r>
          <a:endParaRPr lang="en-GB" sz="1500" b="1">
            <a:solidFill>
              <a:schemeClr val="tx1"/>
            </a:solidFill>
            <a:latin typeface="Adihaus"/>
            <a:cs typeface="Aharoni" panose="020F0502020204030204" pitchFamily="2" charset="-79"/>
          </a:endParaRPr>
        </a:p>
      </xdr:txBody>
    </xdr:sp>
    <xdr:clientData/>
  </xdr:twoCellAnchor>
  <xdr:twoCellAnchor>
    <xdr:from>
      <xdr:col>0</xdr:col>
      <xdr:colOff>2258974</xdr:colOff>
      <xdr:row>0</xdr:row>
      <xdr:rowOff>41789</xdr:rowOff>
    </xdr:from>
    <xdr:to>
      <xdr:col>4</xdr:col>
      <xdr:colOff>266476</xdr:colOff>
      <xdr:row>1</xdr:row>
      <xdr:rowOff>158713</xdr:rowOff>
    </xdr:to>
    <xdr:sp macro="" textlink="">
      <xdr:nvSpPr>
        <xdr:cNvPr id="21" name="TextBox 20">
          <a:hlinkClick xmlns:r="http://schemas.openxmlformats.org/officeDocument/2006/relationships" r:id="rId2"/>
          <a:extLst>
            <a:ext uri="{FF2B5EF4-FFF2-40B4-BE49-F238E27FC236}">
              <a16:creationId xmlns:a16="http://schemas.microsoft.com/office/drawing/2014/main" id="{F24A5004-2AC1-4022-B29B-06B7B5021C02}"/>
            </a:ext>
          </a:extLst>
        </xdr:cNvPr>
        <xdr:cNvSpPr txBox="1"/>
      </xdr:nvSpPr>
      <xdr:spPr>
        <a:xfrm>
          <a:off x="2258974" y="41789"/>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Profability analysis</a:t>
          </a:r>
          <a:endParaRPr lang="en-GB" sz="1500" b="1">
            <a:solidFill>
              <a:schemeClr val="tx1"/>
            </a:solidFill>
            <a:latin typeface="Adihaus"/>
            <a:cs typeface="Aharoni" panose="020F0502020204030204" pitchFamily="2" charset="-79"/>
          </a:endParaRPr>
        </a:p>
      </xdr:txBody>
    </xdr:sp>
    <xdr:clientData/>
  </xdr:twoCellAnchor>
  <xdr:twoCellAnchor>
    <xdr:from>
      <xdr:col>4</xdr:col>
      <xdr:colOff>288023</xdr:colOff>
      <xdr:row>0</xdr:row>
      <xdr:rowOff>27223</xdr:rowOff>
    </xdr:from>
    <xdr:to>
      <xdr:col>10</xdr:col>
      <xdr:colOff>586952</xdr:colOff>
      <xdr:row>2</xdr:row>
      <xdr:rowOff>28882</xdr:rowOff>
    </xdr:to>
    <xdr:sp macro="" textlink="">
      <xdr:nvSpPr>
        <xdr:cNvPr id="4" name="TextBox 21">
          <a:hlinkClick xmlns:r="http://schemas.openxmlformats.org/officeDocument/2006/relationships" r:id="rId3"/>
          <a:extLst>
            <a:ext uri="{FF2B5EF4-FFF2-40B4-BE49-F238E27FC236}">
              <a16:creationId xmlns:a16="http://schemas.microsoft.com/office/drawing/2014/main" id="{117A1F15-61A3-4ADA-83AA-8DB8328777FB}"/>
            </a:ext>
          </a:extLst>
        </xdr:cNvPr>
        <xdr:cNvSpPr txBox="1"/>
      </xdr:nvSpPr>
      <xdr:spPr>
        <a:xfrm>
          <a:off x="4247435" y="27223"/>
          <a:ext cx="2315988" cy="360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Operating management</a:t>
          </a:r>
          <a:endParaRPr lang="en-GB" sz="1500" b="1">
            <a:solidFill>
              <a:schemeClr val="tx1"/>
            </a:solidFill>
            <a:latin typeface="Adihaus"/>
            <a:cs typeface="Aharoni" panose="020F0502020204030204" pitchFamily="2" charset="-79"/>
          </a:endParaRPr>
        </a:p>
      </xdr:txBody>
    </xdr:sp>
    <xdr:clientData/>
  </xdr:twoCellAnchor>
  <xdr:twoCellAnchor>
    <xdr:from>
      <xdr:col>10</xdr:col>
      <xdr:colOff>381606</xdr:colOff>
      <xdr:row>0</xdr:row>
      <xdr:rowOff>24563</xdr:rowOff>
    </xdr:from>
    <xdr:to>
      <xdr:col>13</xdr:col>
      <xdr:colOff>320178</xdr:colOff>
      <xdr:row>1</xdr:row>
      <xdr:rowOff>119715</xdr:rowOff>
    </xdr:to>
    <xdr:sp macro="" textlink="">
      <xdr:nvSpPr>
        <xdr:cNvPr id="3" name="TextBox 22">
          <a:hlinkClick xmlns:r="http://schemas.openxmlformats.org/officeDocument/2006/relationships" r:id="rId4"/>
          <a:extLst>
            <a:ext uri="{FF2B5EF4-FFF2-40B4-BE49-F238E27FC236}">
              <a16:creationId xmlns:a16="http://schemas.microsoft.com/office/drawing/2014/main" id="{47231DBC-5573-4685-9BEC-702EBD530F3C}"/>
            </a:ext>
          </a:extLst>
        </xdr:cNvPr>
        <xdr:cNvSpPr txBox="1"/>
      </xdr:nvSpPr>
      <xdr:spPr>
        <a:xfrm>
          <a:off x="6358077" y="24563"/>
          <a:ext cx="2194689" cy="27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Investment management</a:t>
          </a:r>
          <a:endParaRPr lang="en-GB" sz="1500" b="1">
            <a:solidFill>
              <a:schemeClr val="tx1"/>
            </a:solidFill>
            <a:latin typeface="Adihaus"/>
            <a:cs typeface="Aharoni" panose="020F0502020204030204" pitchFamily="2" charset="-79"/>
          </a:endParaRPr>
        </a:p>
      </xdr:txBody>
    </xdr:sp>
    <xdr:clientData/>
  </xdr:twoCellAnchor>
  <xdr:twoCellAnchor>
    <xdr:from>
      <xdr:col>13</xdr:col>
      <xdr:colOff>371880</xdr:colOff>
      <xdr:row>0</xdr:row>
      <xdr:rowOff>33201</xdr:rowOff>
    </xdr:from>
    <xdr:to>
      <xdr:col>16</xdr:col>
      <xdr:colOff>490476</xdr:colOff>
      <xdr:row>1</xdr:row>
      <xdr:rowOff>133569</xdr:rowOff>
    </xdr:to>
    <xdr:sp macro="" textlink="">
      <xdr:nvSpPr>
        <xdr:cNvPr id="24" name="TextBox 23">
          <a:hlinkClick xmlns:r="http://schemas.openxmlformats.org/officeDocument/2006/relationships" r:id="rId5"/>
          <a:extLst>
            <a:ext uri="{FF2B5EF4-FFF2-40B4-BE49-F238E27FC236}">
              <a16:creationId xmlns:a16="http://schemas.microsoft.com/office/drawing/2014/main" id="{81221461-499B-40A0-83D7-7DF0948741F7}"/>
            </a:ext>
          </a:extLst>
        </xdr:cNvPr>
        <xdr:cNvSpPr txBox="1"/>
      </xdr:nvSpPr>
      <xdr:spPr>
        <a:xfrm>
          <a:off x="8604468" y="33201"/>
          <a:ext cx="1956361" cy="27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management</a:t>
          </a:r>
          <a:endParaRPr lang="en-GB" sz="1500" b="1">
            <a:solidFill>
              <a:schemeClr val="tx1"/>
            </a:solidFill>
            <a:latin typeface="Adihaus"/>
            <a:cs typeface="Aharoni" panose="020F0502020204030204" pitchFamily="2" charset="-79"/>
          </a:endParaRPr>
        </a:p>
      </xdr:txBody>
    </xdr:sp>
    <xdr:clientData/>
  </xdr:twoCellAnchor>
  <xdr:twoCellAnchor>
    <xdr:from>
      <xdr:col>16</xdr:col>
      <xdr:colOff>463484</xdr:colOff>
      <xdr:row>0</xdr:row>
      <xdr:rowOff>32993</xdr:rowOff>
    </xdr:from>
    <xdr:to>
      <xdr:col>17</xdr:col>
      <xdr:colOff>338018</xdr:colOff>
      <xdr:row>1</xdr:row>
      <xdr:rowOff>156026</xdr:rowOff>
    </xdr:to>
    <xdr:sp macro="" textlink="">
      <xdr:nvSpPr>
        <xdr:cNvPr id="25" name="TextBox 24">
          <a:hlinkClick xmlns:r="http://schemas.openxmlformats.org/officeDocument/2006/relationships" r:id="rId6"/>
          <a:extLst>
            <a:ext uri="{FF2B5EF4-FFF2-40B4-BE49-F238E27FC236}">
              <a16:creationId xmlns:a16="http://schemas.microsoft.com/office/drawing/2014/main" id="{43D9E112-7961-4F54-89BB-61DDAA70A262}"/>
            </a:ext>
          </a:extLst>
        </xdr:cNvPr>
        <xdr:cNvSpPr txBox="1"/>
      </xdr:nvSpPr>
      <xdr:spPr>
        <a:xfrm>
          <a:off x="10533837" y="32993"/>
          <a:ext cx="2982299" cy="30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Ratio for investors/shareholders</a:t>
          </a:r>
          <a:endParaRPr lang="en-GB" sz="1500" b="1">
            <a:solidFill>
              <a:schemeClr val="tx1"/>
            </a:solidFill>
            <a:latin typeface="Adihaus"/>
            <a:cs typeface="Aharoni" panose="020F0502020204030204" pitchFamily="2" charset="-79"/>
          </a:endParaRPr>
        </a:p>
      </xdr:txBody>
    </xdr:sp>
    <xdr:clientData/>
  </xdr:twoCellAnchor>
  <xdr:twoCellAnchor>
    <xdr:from>
      <xdr:col>19</xdr:col>
      <xdr:colOff>214410</xdr:colOff>
      <xdr:row>0</xdr:row>
      <xdr:rowOff>29746</xdr:rowOff>
    </xdr:from>
    <xdr:to>
      <xdr:col>29</xdr:col>
      <xdr:colOff>123526</xdr:colOff>
      <xdr:row>1</xdr:row>
      <xdr:rowOff>149670</xdr:rowOff>
    </xdr:to>
    <xdr:sp macro="" textlink="">
      <xdr:nvSpPr>
        <xdr:cNvPr id="2" name="TextBox 25">
          <a:hlinkClick xmlns:r="http://schemas.openxmlformats.org/officeDocument/2006/relationships" r:id="rId7"/>
          <a:extLst>
            <a:ext uri="{FF2B5EF4-FFF2-40B4-BE49-F238E27FC236}">
              <a16:creationId xmlns:a16="http://schemas.microsoft.com/office/drawing/2014/main" id="{5373D581-AE67-429C-AAC6-E2A20280ACF0}"/>
            </a:ext>
          </a:extLst>
        </xdr:cNvPr>
        <xdr:cNvSpPr txBox="1"/>
      </xdr:nvSpPr>
      <xdr:spPr>
        <a:xfrm>
          <a:off x="13900528" y="29746"/>
          <a:ext cx="1970998" cy="29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fINANCIAL STATEMENTS</a:t>
          </a:r>
          <a:endParaRPr lang="en-GB" sz="1500" b="1">
            <a:solidFill>
              <a:schemeClr val="tx1"/>
            </a:solidFill>
            <a:latin typeface="Adihaus"/>
            <a:cs typeface="Aharoni" panose="020F0502020204030204" pitchFamily="2" charset="-79"/>
          </a:endParaRPr>
        </a:p>
      </xdr:txBody>
    </xdr:sp>
    <xdr:clientData/>
  </xdr:twoCellAnchor>
  <xdr:twoCellAnchor>
    <xdr:from>
      <xdr:col>17</xdr:col>
      <xdr:colOff>226060</xdr:colOff>
      <xdr:row>0</xdr:row>
      <xdr:rowOff>14941</xdr:rowOff>
    </xdr:from>
    <xdr:to>
      <xdr:col>19</xdr:col>
      <xdr:colOff>195583</xdr:colOff>
      <xdr:row>1</xdr:row>
      <xdr:rowOff>137375</xdr:rowOff>
    </xdr:to>
    <xdr:sp macro="" textlink="">
      <xdr:nvSpPr>
        <xdr:cNvPr id="27" name="TextBox 26">
          <a:hlinkClick xmlns:r="http://schemas.openxmlformats.org/officeDocument/2006/relationships" r:id="rId8"/>
          <a:extLst>
            <a:ext uri="{FF2B5EF4-FFF2-40B4-BE49-F238E27FC236}">
              <a16:creationId xmlns:a16="http://schemas.microsoft.com/office/drawing/2014/main" id="{D20FBE48-3073-4C61-B783-BF46A97DB4DC}"/>
            </a:ext>
          </a:extLst>
        </xdr:cNvPr>
        <xdr:cNvSpPr txBox="1"/>
      </xdr:nvSpPr>
      <xdr:spPr>
        <a:xfrm>
          <a:off x="13404178" y="14941"/>
          <a:ext cx="477523" cy="30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cs typeface="+mn-cs"/>
            </a:rPr>
            <a:t>SFS</a:t>
          </a:r>
          <a:endParaRPr lang="en-GB" sz="1500" b="1">
            <a:solidFill>
              <a:schemeClr val="tx1"/>
            </a:solidFill>
            <a:latin typeface="Adihaus"/>
            <a:cs typeface="Aharoni" panose="020F0502020204030204" pitchFamily="2" charset="-79"/>
          </a:endParaRPr>
        </a:p>
      </xdr:txBody>
    </xdr:sp>
    <xdr:clientData/>
  </xdr:twoCellAnchor>
  <xdr:twoCellAnchor>
    <xdr:from>
      <xdr:col>0</xdr:col>
      <xdr:colOff>863561</xdr:colOff>
      <xdr:row>0</xdr:row>
      <xdr:rowOff>63222</xdr:rowOff>
    </xdr:from>
    <xdr:to>
      <xdr:col>1</xdr:col>
      <xdr:colOff>51416</xdr:colOff>
      <xdr:row>2</xdr:row>
      <xdr:rowOff>852</xdr:rowOff>
    </xdr:to>
    <xdr:sp macro="" textlink="">
      <xdr:nvSpPr>
        <xdr:cNvPr id="28" name="TextBox 27">
          <a:hlinkClick xmlns:r="http://schemas.openxmlformats.org/officeDocument/2006/relationships" r:id="rId9"/>
          <a:extLst>
            <a:ext uri="{FF2B5EF4-FFF2-40B4-BE49-F238E27FC236}">
              <a16:creationId xmlns:a16="http://schemas.microsoft.com/office/drawing/2014/main" id="{5E934F5A-B9EB-418D-9912-8E4618B17C9B}"/>
            </a:ext>
          </a:extLst>
        </xdr:cNvPr>
        <xdr:cNvSpPr txBox="1"/>
      </xdr:nvSpPr>
      <xdr:spPr>
        <a:xfrm>
          <a:off x="863561" y="63222"/>
          <a:ext cx="1966914" cy="29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buNone/>
          </a:pPr>
          <a:r>
            <a:rPr lang="en-GB" sz="1500" b="1" i="0" cap="all">
              <a:solidFill>
                <a:schemeClr val="tx1"/>
              </a:solidFill>
              <a:effectLst/>
              <a:latin typeface="Barlow Condensed" panose="00000506000000000000" pitchFamily="2" charset="0"/>
            </a:rPr>
            <a:t>PERFORMANCE</a:t>
          </a:r>
          <a:endParaRPr lang="en-GB" sz="1500" b="1">
            <a:solidFill>
              <a:schemeClr val="tx1"/>
            </a:solidFill>
            <a:latin typeface="Adihaus"/>
            <a:cs typeface="Aharoni" panose="020F0502020204030204" pitchFamily="2" charset="-79"/>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AMPANINI-BONOMI Orlando" id="{2427F34A-EBE3-114E-A219-B15DE2A68765}" userId="S::orlando.campanini-bonomi@edhec.com::84ffd015-a765-46ff-9848-0008f71805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K24" dT="2026-04-17T11:25:44.96" personId="{2427F34A-EBE3-114E-A219-B15DE2A68765}" id="{43E13F5B-2B2C-944C-A6F6-CE2C0A9D9F66}">
    <text>The interpretation for PPE turnover is incorrect, as the highest it is, the better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9.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ECC8-8D21-452F-9D99-B4A644EA2686}">
  <dimension ref="A1:AQ70"/>
  <sheetViews>
    <sheetView topLeftCell="A29" zoomScale="74" zoomScaleNormal="80" workbookViewId="0">
      <selection activeCell="G9" sqref="G9"/>
    </sheetView>
  </sheetViews>
  <sheetFormatPr defaultColWidth="0" defaultRowHeight="15" zeroHeight="1"/>
  <cols>
    <col min="1" max="28" width="8.85546875" style="48" customWidth="1"/>
    <col min="29" max="43" width="0" style="47" hidden="1" customWidth="1"/>
    <col min="44" max="16384" width="8.85546875" style="47" hidden="1"/>
  </cols>
  <sheetData>
    <row r="1" spans="1:27" s="47" customFormat="1">
      <c r="A1" s="47">
        <v>2024</v>
      </c>
      <c r="S1" s="49"/>
      <c r="U1" s="49"/>
      <c r="W1" s="49"/>
      <c r="Y1" s="49"/>
      <c r="AA1" s="49"/>
    </row>
    <row r="2" spans="1:27" s="47" customFormat="1">
      <c r="S2" s="49"/>
      <c r="U2" s="49"/>
      <c r="W2" s="49"/>
      <c r="Y2" s="49"/>
      <c r="AA2" s="49"/>
    </row>
    <row r="3" spans="1:27" s="47" customFormat="1">
      <c r="S3" s="49"/>
      <c r="U3" s="49"/>
      <c r="W3" s="49"/>
      <c r="Y3" s="49"/>
      <c r="AA3" s="49"/>
    </row>
    <row r="4" spans="1:27" s="47" customFormat="1">
      <c r="S4" s="49"/>
      <c r="U4" s="49"/>
      <c r="W4" s="49"/>
      <c r="Y4" s="49"/>
      <c r="AA4" s="49"/>
    </row>
    <row r="5" spans="1:27" s="47" customFormat="1">
      <c r="S5" s="49"/>
      <c r="U5" s="49"/>
      <c r="W5" s="49"/>
      <c r="Y5" s="49"/>
      <c r="AA5" s="49"/>
    </row>
    <row r="6" spans="1:27" s="47" customFormat="1">
      <c r="S6" s="49"/>
      <c r="U6" s="49"/>
      <c r="W6" s="49"/>
      <c r="Y6" s="49"/>
      <c r="AA6" s="49"/>
    </row>
    <row r="7" spans="1:27" s="47" customFormat="1">
      <c r="S7" s="49"/>
      <c r="U7" s="49"/>
      <c r="W7" s="49"/>
      <c r="Y7" s="49"/>
      <c r="AA7" s="49"/>
    </row>
    <row r="8" spans="1:27" s="47" customFormat="1">
      <c r="S8" s="49"/>
      <c r="U8" s="49"/>
      <c r="W8" s="49"/>
      <c r="Y8" s="49"/>
      <c r="AA8" s="49"/>
    </row>
    <row r="9" spans="1:27" s="47" customFormat="1">
      <c r="S9" s="49"/>
      <c r="U9" s="49"/>
      <c r="W9" s="49"/>
      <c r="Y9" s="49"/>
      <c r="AA9" s="49"/>
    </row>
    <row r="10" spans="1:27" s="47" customFormat="1">
      <c r="S10" s="49"/>
      <c r="U10" s="49"/>
      <c r="W10" s="49"/>
      <c r="Y10" s="49"/>
      <c r="AA10" s="49"/>
    </row>
    <row r="11" spans="1:27" s="47" customFormat="1">
      <c r="H11" s="47" t="s">
        <v>0</v>
      </c>
      <c r="S11" s="49"/>
      <c r="U11" s="49"/>
      <c r="W11" s="49"/>
      <c r="Y11" s="49"/>
      <c r="AA11" s="49"/>
    </row>
    <row r="12" spans="1:27" s="47" customFormat="1">
      <c r="S12" s="49"/>
      <c r="U12" s="49"/>
      <c r="W12" s="49"/>
      <c r="Y12" s="49"/>
      <c r="AA12" s="49"/>
    </row>
    <row r="13" spans="1:27" s="47" customFormat="1">
      <c r="S13" s="49"/>
      <c r="U13" s="49"/>
      <c r="W13" s="49"/>
      <c r="Y13" s="49"/>
      <c r="AA13" s="49"/>
    </row>
    <row r="14" spans="1:27" s="47" customFormat="1">
      <c r="S14" s="49"/>
      <c r="U14" s="49"/>
      <c r="W14" s="49"/>
      <c r="Y14" s="49"/>
      <c r="AA14" s="49"/>
    </row>
    <row r="15" spans="1:27" s="47" customFormat="1">
      <c r="S15" s="49"/>
      <c r="U15" s="49"/>
      <c r="W15" s="49"/>
      <c r="Y15" s="49"/>
      <c r="AA15" s="49"/>
    </row>
    <row r="16" spans="1:27" s="47" customFormat="1">
      <c r="S16" s="49"/>
      <c r="U16" s="49"/>
      <c r="W16" s="49"/>
      <c r="Y16" s="49"/>
      <c r="AA16" s="49"/>
    </row>
    <row r="17" spans="19:27" s="47" customFormat="1">
      <c r="S17" s="49"/>
      <c r="U17" s="49"/>
      <c r="W17" s="49"/>
      <c r="Y17" s="49"/>
      <c r="AA17" s="49"/>
    </row>
    <row r="18" spans="19:27" s="47" customFormat="1">
      <c r="S18" s="49"/>
      <c r="U18" s="49"/>
      <c r="W18" s="49"/>
      <c r="Y18" s="49"/>
      <c r="AA18" s="49"/>
    </row>
    <row r="19" spans="19:27" s="47" customFormat="1">
      <c r="S19" s="49"/>
      <c r="U19" s="49"/>
      <c r="W19" s="49"/>
      <c r="Y19" s="49"/>
      <c r="AA19" s="49"/>
    </row>
    <row r="20" spans="19:27" s="47" customFormat="1">
      <c r="S20" s="49"/>
      <c r="U20" s="49"/>
      <c r="W20" s="49"/>
      <c r="Y20" s="49"/>
      <c r="AA20" s="49"/>
    </row>
    <row r="21" spans="19:27" s="47" customFormat="1">
      <c r="S21" s="49"/>
      <c r="U21" s="49"/>
      <c r="W21" s="49"/>
      <c r="Y21" s="49"/>
      <c r="AA21" s="49"/>
    </row>
    <row r="22" spans="19:27" s="47" customFormat="1">
      <c r="S22" s="49"/>
      <c r="U22" s="49"/>
      <c r="W22" s="49"/>
      <c r="Y22" s="49"/>
      <c r="AA22" s="49"/>
    </row>
    <row r="23" spans="19:27" s="47" customFormat="1">
      <c r="S23" s="49"/>
      <c r="U23" s="49"/>
      <c r="W23" s="49"/>
      <c r="Y23" s="49"/>
      <c r="AA23" s="49"/>
    </row>
    <row r="24" spans="19:27" s="47" customFormat="1">
      <c r="S24" s="49"/>
      <c r="U24" s="49"/>
      <c r="W24" s="49"/>
      <c r="Y24" s="49"/>
      <c r="AA24" s="49"/>
    </row>
    <row r="25" spans="19:27" s="47" customFormat="1">
      <c r="S25" s="49"/>
      <c r="U25" s="49"/>
      <c r="W25" s="49"/>
      <c r="Y25" s="49"/>
      <c r="AA25" s="49"/>
    </row>
    <row r="26" spans="19:27" s="47" customFormat="1">
      <c r="S26" s="49"/>
      <c r="U26" s="49"/>
      <c r="W26" s="49"/>
      <c r="Y26" s="49"/>
      <c r="AA26" s="49"/>
    </row>
    <row r="27" spans="19:27" s="47" customFormat="1">
      <c r="S27" s="49"/>
      <c r="U27" s="49"/>
      <c r="W27" s="49"/>
      <c r="Y27" s="49"/>
      <c r="AA27" s="49"/>
    </row>
    <row r="28" spans="19:27" s="47" customFormat="1">
      <c r="S28" s="49"/>
      <c r="U28" s="49"/>
      <c r="W28" s="49"/>
      <c r="Y28" s="49"/>
      <c r="AA28" s="49"/>
    </row>
    <row r="29" spans="19:27" s="47" customFormat="1">
      <c r="S29" s="49"/>
      <c r="U29" s="49"/>
      <c r="W29" s="49"/>
      <c r="Y29" s="49"/>
      <c r="AA29" s="49"/>
    </row>
    <row r="30" spans="19:27" s="47" customFormat="1">
      <c r="S30" s="49"/>
      <c r="U30" s="49"/>
      <c r="W30" s="49"/>
      <c r="Y30" s="49"/>
      <c r="AA30" s="49"/>
    </row>
    <row r="31" spans="19:27" s="47" customFormat="1">
      <c r="S31" s="49"/>
      <c r="U31" s="49"/>
      <c r="W31" s="49"/>
      <c r="Y31" s="49"/>
      <c r="AA31" s="49"/>
    </row>
    <row r="32" spans="19:27" s="47" customFormat="1">
      <c r="S32" s="49"/>
      <c r="U32" s="49"/>
      <c r="W32" s="49"/>
      <c r="Y32" s="49"/>
      <c r="AA32" s="49"/>
    </row>
    <row r="33" spans="19:27" s="47" customFormat="1">
      <c r="S33" s="49"/>
      <c r="U33" s="49"/>
      <c r="W33" s="49"/>
      <c r="Y33" s="49"/>
      <c r="AA33" s="49"/>
    </row>
    <row r="34" spans="19:27" s="47" customFormat="1">
      <c r="S34" s="49"/>
      <c r="U34" s="49"/>
      <c r="W34" s="49"/>
      <c r="Y34" s="49"/>
      <c r="AA34" s="49"/>
    </row>
    <row r="35" spans="19:27" s="47" customFormat="1">
      <c r="S35" s="49"/>
      <c r="U35" s="49"/>
      <c r="W35" s="49"/>
      <c r="Y35" s="49"/>
      <c r="AA35" s="49"/>
    </row>
    <row r="36" spans="19:27" s="47" customFormat="1">
      <c r="S36" s="49"/>
      <c r="U36" s="49"/>
      <c r="W36" s="49"/>
      <c r="Y36" s="49"/>
      <c r="AA36" s="49"/>
    </row>
    <row r="37" spans="19:27" s="47" customFormat="1">
      <c r="S37" s="49"/>
      <c r="U37" s="49"/>
      <c r="W37" s="49"/>
      <c r="Y37" s="49"/>
      <c r="AA37" s="49"/>
    </row>
    <row r="38" spans="19:27" s="47" customFormat="1">
      <c r="S38" s="49"/>
      <c r="U38" s="49"/>
      <c r="W38" s="49"/>
      <c r="Y38" s="49"/>
      <c r="AA38" s="49"/>
    </row>
    <row r="39" spans="19:27" s="47" customFormat="1">
      <c r="S39" s="49"/>
      <c r="U39" s="49"/>
      <c r="W39" s="49"/>
      <c r="Y39" s="49"/>
      <c r="AA39" s="49"/>
    </row>
    <row r="40" spans="19:27" s="47" customFormat="1">
      <c r="S40" s="49"/>
      <c r="U40" s="49"/>
      <c r="W40" s="49"/>
      <c r="Y40" s="49"/>
      <c r="AA40" s="49"/>
    </row>
    <row r="41" spans="19:27" s="47" customFormat="1">
      <c r="S41" s="49"/>
      <c r="U41" s="49"/>
      <c r="W41" s="49"/>
      <c r="Y41" s="49"/>
      <c r="AA41" s="49"/>
    </row>
    <row r="42" spans="19:27" s="47" customFormat="1">
      <c r="S42" s="49"/>
      <c r="U42" s="49"/>
      <c r="W42" s="49"/>
      <c r="Y42" s="49"/>
      <c r="AA42" s="49"/>
    </row>
    <row r="43" spans="19:27" s="47" customFormat="1">
      <c r="S43" s="49"/>
      <c r="U43" s="49"/>
      <c r="W43" s="49"/>
      <c r="Y43" s="49"/>
      <c r="AA43" s="49"/>
    </row>
    <row r="44" spans="19:27" s="47" customFormat="1">
      <c r="S44" s="49"/>
      <c r="U44" s="49"/>
      <c r="W44" s="49"/>
      <c r="Y44" s="49"/>
      <c r="AA44" s="49"/>
    </row>
    <row r="45" spans="19:27" s="47" customFormat="1">
      <c r="S45" s="49"/>
      <c r="U45" s="49"/>
      <c r="W45" s="49"/>
      <c r="Y45" s="49"/>
      <c r="AA45" s="49"/>
    </row>
    <row r="46" spans="19:27" s="47" customFormat="1" ht="14.45" customHeight="1">
      <c r="S46" s="49"/>
      <c r="U46" s="49"/>
      <c r="W46" s="49"/>
      <c r="Y46" s="49"/>
      <c r="AA46" s="49"/>
    </row>
    <row r="47" spans="19:27" s="47" customFormat="1" ht="14.45" customHeight="1">
      <c r="S47" s="49"/>
      <c r="U47" s="49"/>
      <c r="W47" s="49"/>
      <c r="Y47" s="49"/>
      <c r="AA47" s="49"/>
    </row>
    <row r="48" spans="19:27" s="47" customFormat="1" ht="14.45" customHeight="1">
      <c r="S48" s="49"/>
      <c r="U48" s="49"/>
      <c r="W48" s="49"/>
      <c r="Y48" s="49"/>
      <c r="AA48" s="49"/>
    </row>
    <row r="49" spans="3:27" s="47" customFormat="1">
      <c r="S49" s="49"/>
      <c r="U49" s="49"/>
      <c r="W49" s="49"/>
      <c r="Y49" s="49"/>
      <c r="AA49" s="49"/>
    </row>
    <row r="50" spans="3:27" s="47" customFormat="1">
      <c r="S50" s="49"/>
      <c r="U50" s="49"/>
      <c r="W50" s="49"/>
      <c r="Y50" s="49"/>
      <c r="AA50" s="49"/>
    </row>
    <row r="51" spans="3:27" s="47" customFormat="1" ht="14.45" customHeight="1">
      <c r="S51" s="49"/>
      <c r="U51" s="49"/>
      <c r="W51" s="49"/>
      <c r="Y51" s="49"/>
      <c r="AA51" s="49"/>
    </row>
    <row r="52" spans="3:27" s="47" customFormat="1" ht="14.45" customHeight="1">
      <c r="S52" s="49"/>
      <c r="U52" s="49"/>
      <c r="W52" s="49"/>
      <c r="Y52" s="49"/>
      <c r="AA52" s="49"/>
    </row>
    <row r="53" spans="3:27" s="47" customFormat="1" ht="14.45" customHeight="1">
      <c r="S53" s="49"/>
      <c r="U53" s="49"/>
      <c r="W53" s="49"/>
      <c r="Y53" s="49"/>
      <c r="AA53" s="49"/>
    </row>
    <row r="54" spans="3:27" s="47" customFormat="1">
      <c r="S54" s="49"/>
      <c r="U54" s="49"/>
      <c r="W54" s="49"/>
      <c r="Y54" s="49"/>
      <c r="AA54" s="49"/>
    </row>
    <row r="55" spans="3:27" s="47" customFormat="1">
      <c r="S55" s="49"/>
      <c r="U55" s="49"/>
      <c r="W55" s="49"/>
      <c r="Y55" s="49"/>
      <c r="AA55" s="49"/>
    </row>
    <row r="56" spans="3:27" s="47" customFormat="1" ht="14.45" customHeight="1">
      <c r="S56" s="49"/>
      <c r="U56" s="49"/>
      <c r="W56" s="49"/>
      <c r="Y56" s="49"/>
      <c r="AA56" s="49"/>
    </row>
    <row r="57" spans="3:27" s="47" customFormat="1" ht="14.45" customHeight="1">
      <c r="S57" s="49"/>
      <c r="U57" s="49"/>
      <c r="W57" s="49"/>
      <c r="Y57" s="49"/>
      <c r="AA57" s="49"/>
    </row>
    <row r="58" spans="3:27" s="47" customFormat="1" ht="14.45" customHeight="1">
      <c r="S58" s="49"/>
      <c r="U58" s="49"/>
      <c r="W58" s="49"/>
      <c r="Y58" s="49"/>
      <c r="AA58" s="49"/>
    </row>
    <row r="59" spans="3:27" s="47" customFormat="1">
      <c r="S59" s="49"/>
      <c r="U59" s="49"/>
      <c r="W59" s="49"/>
      <c r="Y59" s="49"/>
      <c r="AA59" s="49"/>
    </row>
    <row r="60" spans="3:27" s="47" customFormat="1">
      <c r="S60" s="49"/>
      <c r="U60" s="49"/>
      <c r="W60" s="49"/>
      <c r="Y60" s="49"/>
      <c r="AA60" s="49"/>
    </row>
    <row r="61" spans="3:27" s="47" customFormat="1">
      <c r="S61" s="49"/>
      <c r="U61" s="49"/>
      <c r="W61" s="49"/>
      <c r="Y61" s="49"/>
      <c r="AA61" s="49"/>
    </row>
    <row r="62" spans="3:27" s="47" customFormat="1">
      <c r="S62" s="49"/>
      <c r="U62" s="49"/>
      <c r="W62" s="49"/>
      <c r="Y62" s="49"/>
      <c r="AA62" s="49"/>
    </row>
    <row r="63" spans="3:27" s="47" customFormat="1" ht="14.45" customHeight="1">
      <c r="C63" s="100" t="s">
        <v>1</v>
      </c>
      <c r="D63" s="100"/>
      <c r="G63" s="100" t="s">
        <v>1</v>
      </c>
      <c r="H63" s="100"/>
      <c r="K63" s="100" t="s">
        <v>1</v>
      </c>
      <c r="L63" s="100"/>
      <c r="O63" s="100" t="s">
        <v>1</v>
      </c>
      <c r="P63" s="100"/>
      <c r="S63" s="49"/>
      <c r="U63" s="49"/>
      <c r="W63" s="49"/>
      <c r="Y63" s="49"/>
      <c r="AA63" s="49"/>
    </row>
    <row r="64" spans="3:27" s="47" customFormat="1" ht="14.45" customHeight="1">
      <c r="C64" s="100"/>
      <c r="D64" s="100"/>
      <c r="F64" s="47" t="s">
        <v>2</v>
      </c>
      <c r="G64" s="100"/>
      <c r="H64" s="100"/>
      <c r="J64" s="47" t="s">
        <v>2</v>
      </c>
      <c r="K64" s="100"/>
      <c r="L64" s="100"/>
      <c r="N64" s="47" t="s">
        <v>2</v>
      </c>
      <c r="O64" s="100"/>
      <c r="P64" s="100"/>
      <c r="S64" s="49"/>
      <c r="U64" s="49"/>
      <c r="W64" s="49"/>
      <c r="Y64" s="49"/>
      <c r="AA64" s="49"/>
    </row>
    <row r="65" spans="1:28" ht="14.45" customHeight="1">
      <c r="A65" s="47"/>
      <c r="B65" s="47"/>
      <c r="C65" s="100"/>
      <c r="D65" s="100"/>
      <c r="E65" s="47"/>
      <c r="F65" s="47"/>
      <c r="G65" s="100"/>
      <c r="H65" s="100"/>
      <c r="I65" s="47"/>
      <c r="J65" s="47"/>
      <c r="K65" s="100"/>
      <c r="L65" s="100"/>
      <c r="M65" s="47"/>
      <c r="N65" s="47"/>
      <c r="O65" s="100"/>
      <c r="P65" s="100"/>
      <c r="Q65" s="47"/>
      <c r="R65" s="47"/>
      <c r="S65" s="49"/>
      <c r="T65" s="47"/>
      <c r="U65" s="49"/>
      <c r="V65" s="47"/>
      <c r="W65" s="49"/>
      <c r="X65" s="47"/>
      <c r="Y65" s="49"/>
      <c r="Z65" s="47"/>
      <c r="AA65" s="49"/>
      <c r="AB65" s="47"/>
    </row>
    <row r="66" spans="1:28" ht="14.45" customHeight="1">
      <c r="A66" s="47"/>
      <c r="B66" s="47"/>
      <c r="C66" s="101" t="s">
        <v>3</v>
      </c>
      <c r="D66" s="101"/>
      <c r="E66" s="47"/>
      <c r="F66" s="47"/>
      <c r="G66" s="101" t="s">
        <v>3</v>
      </c>
      <c r="H66" s="101"/>
      <c r="I66" s="47"/>
      <c r="J66" s="47"/>
      <c r="K66" s="101" t="s">
        <v>3</v>
      </c>
      <c r="L66" s="101"/>
      <c r="M66" s="47"/>
      <c r="N66" s="47"/>
      <c r="O66" s="101" t="s">
        <v>3</v>
      </c>
      <c r="P66" s="101"/>
      <c r="Q66" s="47"/>
      <c r="R66" s="47"/>
      <c r="S66" s="49"/>
      <c r="T66" s="47"/>
      <c r="U66" s="49"/>
      <c r="V66" s="47"/>
      <c r="W66" s="49"/>
      <c r="X66" s="47"/>
      <c r="Y66" s="49"/>
      <c r="Z66" s="47"/>
      <c r="AA66" s="49"/>
      <c r="AB66" s="47"/>
    </row>
    <row r="67" spans="1:28" ht="14.45" customHeight="1">
      <c r="A67" s="47"/>
      <c r="B67" s="47"/>
      <c r="C67" s="101"/>
      <c r="D67" s="101"/>
      <c r="E67" s="47"/>
      <c r="F67" s="47" t="s">
        <v>4</v>
      </c>
      <c r="G67" s="101"/>
      <c r="H67" s="101"/>
      <c r="I67" s="47"/>
      <c r="J67" s="47" t="s">
        <v>4</v>
      </c>
      <c r="K67" s="101"/>
      <c r="L67" s="101"/>
      <c r="M67" s="47"/>
      <c r="N67" s="47" t="s">
        <v>4</v>
      </c>
      <c r="O67" s="101"/>
      <c r="P67" s="101"/>
      <c r="Q67" s="47"/>
      <c r="R67" s="47"/>
      <c r="S67" s="49"/>
      <c r="T67" s="47"/>
      <c r="U67" s="49"/>
      <c r="V67" s="47"/>
      <c r="W67" s="49"/>
      <c r="X67" s="47"/>
      <c r="Y67" s="49"/>
      <c r="Z67" s="47"/>
      <c r="AA67" s="49"/>
      <c r="AB67" s="47"/>
    </row>
    <row r="68" spans="1:28" ht="14.45" customHeight="1">
      <c r="A68" s="47"/>
      <c r="B68" s="47"/>
      <c r="C68" s="50"/>
      <c r="D68" s="50"/>
      <c r="E68" s="47"/>
      <c r="F68" s="47"/>
      <c r="G68" s="47"/>
      <c r="H68" s="47"/>
      <c r="I68" s="47"/>
      <c r="J68" s="47"/>
      <c r="K68" s="47"/>
      <c r="L68" s="47"/>
      <c r="M68" s="47"/>
      <c r="N68" s="47"/>
      <c r="O68" s="47"/>
      <c r="P68" s="47"/>
      <c r="Q68" s="47"/>
      <c r="R68" s="47"/>
      <c r="S68" s="49"/>
      <c r="T68" s="47"/>
      <c r="U68" s="49"/>
      <c r="V68" s="47"/>
      <c r="W68" s="49"/>
      <c r="X68" s="47"/>
      <c r="Y68" s="49"/>
      <c r="Z68" s="47"/>
      <c r="AA68" s="49"/>
      <c r="AB68" s="47"/>
    </row>
    <row r="69" spans="1:28">
      <c r="A69" s="47"/>
      <c r="B69" s="47"/>
      <c r="C69" s="47"/>
      <c r="D69" s="47"/>
      <c r="E69" s="47"/>
      <c r="F69" s="47"/>
      <c r="G69" s="47"/>
      <c r="H69" s="47"/>
      <c r="I69" s="47"/>
      <c r="J69" s="47"/>
      <c r="K69" s="47"/>
      <c r="L69" s="47"/>
      <c r="M69" s="47"/>
      <c r="N69" s="47"/>
      <c r="O69" s="47"/>
      <c r="P69" s="47"/>
      <c r="Q69" s="47"/>
      <c r="R69" s="47"/>
      <c r="S69" s="49"/>
      <c r="T69" s="47"/>
      <c r="U69" s="49"/>
      <c r="V69" s="47"/>
      <c r="W69" s="49"/>
      <c r="X69" s="47"/>
      <c r="Y69" s="49"/>
      <c r="Z69" s="47"/>
      <c r="AA69" s="49"/>
      <c r="AB69" s="47"/>
    </row>
    <row r="70" spans="1:28"/>
  </sheetData>
  <mergeCells count="8">
    <mergeCell ref="C63:D65"/>
    <mergeCell ref="C66:D67"/>
    <mergeCell ref="O63:P65"/>
    <mergeCell ref="O66:P67"/>
    <mergeCell ref="G63:H65"/>
    <mergeCell ref="G66:H67"/>
    <mergeCell ref="K63:L65"/>
    <mergeCell ref="K66:L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BEC2-A67A-4587-9999-52916832A91B}">
  <dimension ref="A12:AB154"/>
  <sheetViews>
    <sheetView topLeftCell="A81" zoomScale="80" zoomScaleNormal="80" workbookViewId="0">
      <selection activeCell="AA80" sqref="AA80"/>
    </sheetView>
  </sheetViews>
  <sheetFormatPr defaultColWidth="0" defaultRowHeight="15"/>
  <cols>
    <col min="1" max="28" width="8.85546875" style="2" customWidth="1"/>
    <col min="29" max="16384" width="8.85546875" style="2" hidden="1"/>
  </cols>
  <sheetData>
    <row r="12" spans="2:27" ht="21.6"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96" t="s">
        <v>5</v>
      </c>
      <c r="D14" s="96"/>
      <c r="E14" s="96"/>
      <c r="F14" s="8"/>
      <c r="G14" s="8"/>
      <c r="H14" s="8"/>
      <c r="I14" s="8"/>
      <c r="J14" s="8"/>
      <c r="K14" s="8"/>
      <c r="L14" s="8"/>
      <c r="M14" s="8"/>
      <c r="N14" s="9"/>
      <c r="O14" s="7"/>
      <c r="P14" s="96" t="s">
        <v>6</v>
      </c>
      <c r="Q14" s="96"/>
      <c r="R14" s="96"/>
      <c r="S14" s="8"/>
      <c r="T14" s="8"/>
      <c r="U14" s="8"/>
      <c r="V14" s="8"/>
      <c r="W14" s="8"/>
      <c r="X14" s="8"/>
      <c r="Y14" s="8"/>
      <c r="Z14" s="8"/>
      <c r="AA14" s="9"/>
    </row>
    <row r="15" spans="2:27" ht="21.6" customHeight="1">
      <c r="B15" s="7"/>
      <c r="C15" s="96"/>
      <c r="D15" s="96"/>
      <c r="E15" s="96"/>
      <c r="F15" s="8"/>
      <c r="G15" s="8"/>
      <c r="H15" s="8"/>
      <c r="I15" s="8"/>
      <c r="J15" s="8"/>
      <c r="K15" s="8"/>
      <c r="L15" s="8"/>
      <c r="M15" s="8"/>
      <c r="N15" s="9"/>
      <c r="O15" s="7"/>
      <c r="P15" s="96"/>
      <c r="Q15" s="96"/>
      <c r="R15" s="96"/>
      <c r="S15" s="8"/>
      <c r="T15" s="8"/>
      <c r="U15" s="8"/>
      <c r="V15" s="8"/>
      <c r="W15" s="8"/>
      <c r="X15" s="8"/>
      <c r="Y15" s="8"/>
      <c r="Z15" s="8"/>
      <c r="AA15" s="9"/>
    </row>
    <row r="16" spans="2:27" ht="21.6" customHeight="1">
      <c r="B16" s="7"/>
      <c r="C16" s="96"/>
      <c r="D16" s="96"/>
      <c r="E16" s="96"/>
      <c r="F16" s="8"/>
      <c r="G16" s="8"/>
      <c r="H16" s="8"/>
      <c r="I16" s="8"/>
      <c r="J16" s="8"/>
      <c r="K16" s="8"/>
      <c r="L16" s="8"/>
      <c r="M16" s="8"/>
      <c r="N16" s="9"/>
      <c r="O16" s="7"/>
      <c r="P16" s="96"/>
      <c r="Q16" s="96"/>
      <c r="R16" s="96"/>
      <c r="S16" s="8"/>
      <c r="T16" s="8"/>
      <c r="U16" s="8"/>
      <c r="V16" s="8"/>
      <c r="W16" s="8"/>
      <c r="X16" s="8"/>
      <c r="Y16" s="8"/>
      <c r="Z16" s="8"/>
      <c r="AA16" s="9"/>
    </row>
    <row r="17" spans="2:27" ht="21.6" customHeight="1">
      <c r="B17" s="7"/>
      <c r="C17" s="107" t="s">
        <v>7</v>
      </c>
      <c r="D17" s="107"/>
      <c r="E17" s="107"/>
      <c r="F17" s="14"/>
      <c r="G17" s="8"/>
      <c r="H17" s="8"/>
      <c r="I17" s="8"/>
      <c r="J17" s="8"/>
      <c r="K17" s="8"/>
      <c r="L17" s="8"/>
      <c r="M17" s="8"/>
      <c r="N17" s="9"/>
      <c r="O17" s="7"/>
      <c r="P17" s="107" t="s">
        <v>8</v>
      </c>
      <c r="Q17" s="107"/>
      <c r="R17" s="107"/>
      <c r="S17" s="107"/>
      <c r="T17" s="107"/>
      <c r="U17" s="107"/>
      <c r="V17" s="107"/>
      <c r="W17" s="107"/>
      <c r="X17" s="107"/>
      <c r="Y17" s="8"/>
      <c r="Z17" s="8"/>
      <c r="AA17" s="9"/>
    </row>
    <row r="18" spans="2:27" ht="21.6" customHeight="1">
      <c r="B18" s="7"/>
      <c r="C18" s="107"/>
      <c r="D18" s="107"/>
      <c r="E18" s="107"/>
      <c r="F18" s="14"/>
      <c r="G18" s="8"/>
      <c r="H18" s="8"/>
      <c r="I18" s="8"/>
      <c r="J18" s="8"/>
      <c r="K18" s="8"/>
      <c r="L18" s="8"/>
      <c r="M18" s="8"/>
      <c r="N18" s="9"/>
      <c r="O18" s="7"/>
      <c r="P18" s="107"/>
      <c r="Q18" s="107"/>
      <c r="R18" s="107"/>
      <c r="S18" s="107"/>
      <c r="T18" s="107"/>
      <c r="U18" s="107"/>
      <c r="V18" s="107"/>
      <c r="W18" s="107"/>
      <c r="X18" s="107"/>
      <c r="Y18" s="8"/>
      <c r="Z18" s="8"/>
      <c r="AA18" s="9"/>
    </row>
    <row r="19" spans="2:27" ht="21.6" customHeight="1">
      <c r="B19" s="7"/>
      <c r="C19" s="107"/>
      <c r="D19" s="107"/>
      <c r="E19" s="107"/>
      <c r="F19" s="14"/>
      <c r="G19" s="8"/>
      <c r="H19" s="8"/>
      <c r="I19" s="8"/>
      <c r="J19" s="8"/>
      <c r="K19" s="8"/>
      <c r="L19" s="8"/>
      <c r="M19" s="8"/>
      <c r="N19" s="9"/>
      <c r="O19" s="7"/>
      <c r="P19" s="107"/>
      <c r="Q19" s="107"/>
      <c r="R19" s="107"/>
      <c r="S19" s="107"/>
      <c r="T19" s="107"/>
      <c r="U19" s="107"/>
      <c r="V19" s="107"/>
      <c r="W19" s="107"/>
      <c r="X19" s="107"/>
      <c r="Y19" s="8"/>
      <c r="Z19" s="8"/>
      <c r="AA19" s="9"/>
    </row>
    <row r="20" spans="2:27" ht="21.6" customHeight="1">
      <c r="B20" s="17">
        <v>7.0000000000000007E-2</v>
      </c>
      <c r="C20" s="43">
        <v>7.0000000000000007E-2</v>
      </c>
      <c r="D20" s="106" t="str">
        <f>IF('Financial Statements'!B$41&gt;0,"WC&gt;0","WC&lt;0")</f>
        <v>WC&gt;0</v>
      </c>
      <c r="E20" s="106"/>
      <c r="F20" s="106"/>
      <c r="G20" s="106" t="str">
        <f>IF('Financial Statements'!B$42&gt;0,"WCN&gt;0","WCN&lt;0")</f>
        <v>WCN&gt;0</v>
      </c>
      <c r="H20" s="106"/>
      <c r="I20" s="106"/>
      <c r="J20" s="106" t="str">
        <f>IF('Financial Statements'!B$43&gt;0,"NC&gt;0","NC&lt;0")</f>
        <v>NC&gt;0</v>
      </c>
      <c r="K20" s="106"/>
      <c r="L20" s="106"/>
      <c r="M20" s="16"/>
      <c r="N20" s="9"/>
      <c r="O20" s="17">
        <v>0.17</v>
      </c>
      <c r="P20" s="15"/>
      <c r="Q20" s="106" t="str">
        <f>IF('Financial Statements'!C$41&gt;0,"WC&gt;0","WC&lt;0")</f>
        <v>WC&gt;0</v>
      </c>
      <c r="R20" s="106"/>
      <c r="S20" s="106"/>
      <c r="T20" s="106" t="str">
        <f>IF('Financial Statements'!C$42&gt;0,"WCN&gt;0","WCN&lt;0")</f>
        <v>WCN&gt;0</v>
      </c>
      <c r="U20" s="106"/>
      <c r="V20" s="106"/>
      <c r="W20" s="106" t="str">
        <f>IF('Financial Statements'!C$43&gt;0,"NC&gt;0","NC&lt;0")</f>
        <v>NC&lt;0</v>
      </c>
      <c r="X20" s="106"/>
      <c r="Y20" s="106"/>
      <c r="Z20" s="16"/>
      <c r="AA20" s="9"/>
    </row>
    <row r="21" spans="2:27" ht="21.6" customHeight="1">
      <c r="B21" s="7"/>
      <c r="C21" s="14"/>
      <c r="D21" s="14"/>
      <c r="E21" s="14"/>
      <c r="F21" s="14"/>
      <c r="G21" s="8"/>
      <c r="H21" s="8"/>
      <c r="I21" s="8"/>
      <c r="J21" s="8"/>
      <c r="K21" s="8"/>
      <c r="L21" s="8"/>
      <c r="M21" s="8"/>
      <c r="N21" s="9"/>
      <c r="O21" s="7"/>
      <c r="P21" s="14"/>
      <c r="Q21" s="14"/>
      <c r="R21" s="14"/>
      <c r="S21" s="14"/>
      <c r="T21" s="8"/>
      <c r="U21" s="8"/>
      <c r="V21" s="8"/>
      <c r="W21" s="8"/>
      <c r="X21" s="8"/>
      <c r="Y21" s="8"/>
      <c r="Z21" s="8"/>
      <c r="AA21" s="9"/>
    </row>
    <row r="22" spans="2:27" ht="21.6" customHeight="1">
      <c r="B22" s="7"/>
      <c r="C22" s="95"/>
      <c r="D22" s="95"/>
      <c r="E22" s="95"/>
      <c r="F22" s="95"/>
      <c r="G22" s="95"/>
      <c r="H22" s="95"/>
      <c r="I22" s="95"/>
      <c r="J22" s="95"/>
      <c r="K22" s="95"/>
      <c r="L22" s="95"/>
      <c r="M22" s="95"/>
      <c r="N22" s="9"/>
      <c r="O22" s="7"/>
      <c r="P22" s="95"/>
      <c r="Q22" s="95"/>
      <c r="R22" s="95"/>
      <c r="S22" s="95"/>
      <c r="T22" s="95"/>
      <c r="U22" s="95"/>
      <c r="V22" s="95"/>
      <c r="W22" s="95"/>
      <c r="X22" s="95"/>
      <c r="Y22" s="95"/>
      <c r="Z22" s="95"/>
      <c r="AA22" s="9"/>
    </row>
    <row r="23" spans="2:27" ht="21.6" customHeight="1">
      <c r="B23" s="7"/>
      <c r="C23" s="13"/>
      <c r="D23" s="13"/>
      <c r="E23" s="13"/>
      <c r="F23" s="13"/>
      <c r="G23" s="13"/>
      <c r="H23" s="13"/>
      <c r="I23" s="13"/>
      <c r="J23" s="13"/>
      <c r="K23" s="13"/>
      <c r="L23" s="13"/>
      <c r="M23" s="13"/>
      <c r="N23" s="9"/>
      <c r="O23" s="7"/>
      <c r="P23" s="13"/>
      <c r="Q23" s="13"/>
      <c r="R23" s="13"/>
      <c r="S23" s="13"/>
      <c r="T23" s="13"/>
      <c r="U23" s="13"/>
      <c r="V23" s="13"/>
      <c r="W23" s="13"/>
      <c r="X23" s="13"/>
      <c r="Y23" s="13"/>
      <c r="Z23" s="13"/>
      <c r="AA23" s="9"/>
    </row>
    <row r="24" spans="2:27" ht="21.6" customHeight="1">
      <c r="B24" s="7"/>
      <c r="C24" s="44" t="s">
        <v>9</v>
      </c>
      <c r="D24" s="13"/>
      <c r="E24" s="13"/>
      <c r="F24" s="13"/>
      <c r="G24" s="13"/>
      <c r="H24" s="13"/>
      <c r="I24" s="13"/>
      <c r="J24" s="13"/>
      <c r="K24" s="13"/>
      <c r="L24" s="13"/>
      <c r="M24" s="13"/>
      <c r="N24" s="9"/>
      <c r="O24" s="7"/>
      <c r="P24" s="44" t="s">
        <v>9</v>
      </c>
      <c r="Q24" s="13"/>
      <c r="R24" s="13"/>
      <c r="S24" s="13"/>
      <c r="T24" s="13"/>
      <c r="U24" s="13"/>
      <c r="V24" s="13"/>
      <c r="W24" s="13"/>
      <c r="X24" s="13"/>
      <c r="Y24" s="13"/>
      <c r="Z24" s="13"/>
      <c r="AA24" s="9"/>
    </row>
    <row r="25" spans="2:27" ht="21.6" customHeight="1">
      <c r="B25" s="7"/>
      <c r="C25" s="13"/>
      <c r="D25" s="13"/>
      <c r="E25" s="13"/>
      <c r="F25" s="13"/>
      <c r="G25" s="13"/>
      <c r="H25" s="13"/>
      <c r="I25" s="13"/>
      <c r="J25" s="13"/>
      <c r="K25" s="13"/>
      <c r="L25" s="13"/>
      <c r="M25" s="13"/>
      <c r="N25" s="9"/>
      <c r="O25" s="7"/>
      <c r="P25" s="13"/>
      <c r="Q25" s="13"/>
      <c r="R25" s="13"/>
      <c r="S25" s="13"/>
      <c r="T25" s="13"/>
      <c r="U25" s="13"/>
      <c r="V25" s="13"/>
      <c r="W25" s="13"/>
      <c r="X25" s="13"/>
      <c r="Y25" s="13"/>
      <c r="Z25" s="13"/>
      <c r="AA25" s="9"/>
    </row>
    <row r="26" spans="2:27" ht="21.6" customHeight="1">
      <c r="B26" s="7"/>
      <c r="C26" s="105" t="s">
        <v>10</v>
      </c>
      <c r="D26" s="103"/>
      <c r="E26" s="103"/>
      <c r="F26" s="103"/>
      <c r="G26" s="103"/>
      <c r="H26" s="103"/>
      <c r="I26" s="103"/>
      <c r="J26" s="103"/>
      <c r="K26" s="103"/>
      <c r="L26" s="103"/>
      <c r="M26" s="103"/>
      <c r="N26" s="9"/>
      <c r="O26" s="7"/>
      <c r="P26" s="105" t="s">
        <v>11</v>
      </c>
      <c r="Q26" s="103"/>
      <c r="R26" s="103"/>
      <c r="S26" s="103"/>
      <c r="T26" s="103"/>
      <c r="U26" s="103"/>
      <c r="V26" s="103"/>
      <c r="W26" s="103"/>
      <c r="X26" s="103"/>
      <c r="Y26" s="103"/>
      <c r="Z26" s="103"/>
      <c r="AA26" s="9"/>
    </row>
    <row r="27" spans="2:27" ht="21.6" customHeight="1">
      <c r="B27" s="7"/>
      <c r="C27" s="103"/>
      <c r="D27" s="103"/>
      <c r="E27" s="103"/>
      <c r="F27" s="103"/>
      <c r="G27" s="103"/>
      <c r="H27" s="103"/>
      <c r="I27" s="103"/>
      <c r="J27" s="103"/>
      <c r="K27" s="103"/>
      <c r="L27" s="103"/>
      <c r="M27" s="103"/>
      <c r="N27" s="9"/>
      <c r="O27" s="7"/>
      <c r="P27" s="103"/>
      <c r="Q27" s="103"/>
      <c r="R27" s="103"/>
      <c r="S27" s="103"/>
      <c r="T27" s="103"/>
      <c r="U27" s="103"/>
      <c r="V27" s="103"/>
      <c r="W27" s="103"/>
      <c r="X27" s="103"/>
      <c r="Y27" s="103"/>
      <c r="Z27" s="103"/>
      <c r="AA27" s="9"/>
    </row>
    <row r="28" spans="2:27" ht="21.6" customHeight="1">
      <c r="B28" s="7"/>
      <c r="C28" s="103"/>
      <c r="D28" s="103"/>
      <c r="E28" s="103"/>
      <c r="F28" s="103"/>
      <c r="G28" s="103"/>
      <c r="H28" s="103"/>
      <c r="I28" s="103"/>
      <c r="J28" s="103"/>
      <c r="K28" s="103"/>
      <c r="L28" s="103"/>
      <c r="M28" s="103"/>
      <c r="N28" s="9"/>
      <c r="O28" s="7"/>
      <c r="P28" s="103"/>
      <c r="Q28" s="103"/>
      <c r="R28" s="103"/>
      <c r="S28" s="103"/>
      <c r="T28" s="103"/>
      <c r="U28" s="103"/>
      <c r="V28" s="103"/>
      <c r="W28" s="103"/>
      <c r="X28" s="103"/>
      <c r="Y28" s="103"/>
      <c r="Z28" s="103"/>
      <c r="AA28" s="9"/>
    </row>
    <row r="29" spans="2:27" ht="21.6" customHeight="1">
      <c r="B29" s="10"/>
      <c r="C29" s="11"/>
      <c r="D29" s="11"/>
      <c r="E29" s="11"/>
      <c r="F29" s="11"/>
      <c r="G29" s="11"/>
      <c r="H29" s="11"/>
      <c r="I29" s="11"/>
      <c r="J29" s="11"/>
      <c r="K29" s="11"/>
      <c r="L29" s="11"/>
      <c r="M29" s="11"/>
      <c r="N29" s="12"/>
      <c r="O29" s="10"/>
      <c r="P29" s="11"/>
      <c r="Q29" s="11"/>
      <c r="R29" s="11"/>
      <c r="S29" s="11"/>
      <c r="T29" s="11"/>
      <c r="U29" s="11"/>
      <c r="V29" s="11"/>
      <c r="W29" s="11"/>
      <c r="X29" s="11"/>
      <c r="Y29" s="11"/>
      <c r="Z29" s="11"/>
      <c r="AA29" s="12"/>
    </row>
    <row r="30" spans="2:27" ht="21.6" customHeight="1">
      <c r="B30" s="4"/>
      <c r="C30" s="5"/>
      <c r="D30" s="5"/>
      <c r="E30" s="5"/>
      <c r="F30" s="5"/>
      <c r="G30" s="5"/>
      <c r="H30" s="5"/>
      <c r="I30" s="5"/>
      <c r="J30" s="5"/>
      <c r="K30" s="5"/>
      <c r="L30" s="5"/>
      <c r="M30" s="5"/>
      <c r="N30" s="6"/>
      <c r="O30" s="4"/>
      <c r="P30" s="5"/>
      <c r="Q30" s="5"/>
      <c r="R30" s="5"/>
      <c r="S30" s="5"/>
      <c r="T30" s="5"/>
      <c r="U30" s="5"/>
      <c r="V30" s="5"/>
      <c r="W30" s="5"/>
      <c r="X30" s="5"/>
      <c r="Y30" s="5"/>
      <c r="Z30" s="5"/>
      <c r="AA30" s="6"/>
    </row>
    <row r="31" spans="2:27" ht="21.6" customHeight="1">
      <c r="B31" s="7"/>
      <c r="C31" s="8"/>
      <c r="D31" s="8"/>
      <c r="E31" s="8"/>
      <c r="F31" s="8"/>
      <c r="G31" s="8"/>
      <c r="H31" s="8"/>
      <c r="I31" s="8"/>
      <c r="J31" s="8"/>
      <c r="K31" s="8"/>
      <c r="L31" s="8"/>
      <c r="M31" s="8"/>
      <c r="N31" s="9"/>
      <c r="O31" s="7"/>
      <c r="P31" s="8"/>
      <c r="Q31" s="8"/>
      <c r="R31" s="8"/>
      <c r="S31" s="8"/>
      <c r="T31" s="8"/>
      <c r="U31" s="8"/>
      <c r="V31" s="8"/>
      <c r="W31" s="8"/>
      <c r="X31" s="8"/>
      <c r="Y31" s="8"/>
      <c r="Z31" s="8"/>
      <c r="AA31" s="9"/>
    </row>
    <row r="32" spans="2:27" ht="21.6" customHeight="1">
      <c r="B32" s="7"/>
      <c r="C32" s="96" t="s">
        <v>12</v>
      </c>
      <c r="D32" s="96"/>
      <c r="E32" s="96"/>
      <c r="F32" s="8"/>
      <c r="G32" s="8"/>
      <c r="H32" s="8"/>
      <c r="I32" s="8"/>
      <c r="J32" s="8"/>
      <c r="K32" s="8"/>
      <c r="L32" s="8"/>
      <c r="M32" s="8"/>
      <c r="N32" s="9"/>
      <c r="O32" s="7"/>
      <c r="P32" s="96" t="s">
        <v>13</v>
      </c>
      <c r="Q32" s="96"/>
      <c r="R32" s="96"/>
      <c r="S32" s="8"/>
      <c r="T32" s="8"/>
      <c r="U32" s="8"/>
      <c r="V32" s="8"/>
      <c r="W32" s="8"/>
      <c r="X32" s="8"/>
      <c r="Y32" s="8"/>
      <c r="Z32" s="8"/>
      <c r="AA32" s="9"/>
    </row>
    <row r="33" spans="2:27" ht="21.6" customHeight="1">
      <c r="B33" s="7"/>
      <c r="C33" s="96"/>
      <c r="D33" s="96"/>
      <c r="E33" s="96"/>
      <c r="F33" s="8"/>
      <c r="G33" s="8"/>
      <c r="H33" s="8"/>
      <c r="I33" s="8"/>
      <c r="J33" s="8"/>
      <c r="K33" s="8"/>
      <c r="L33" s="8"/>
      <c r="M33" s="8"/>
      <c r="N33" s="9"/>
      <c r="O33" s="7"/>
      <c r="P33" s="96"/>
      <c r="Q33" s="96"/>
      <c r="R33" s="96"/>
      <c r="S33" s="8"/>
      <c r="T33" s="8"/>
      <c r="U33" s="8"/>
      <c r="V33" s="8"/>
      <c r="W33" s="8"/>
      <c r="X33" s="8"/>
      <c r="Y33" s="8"/>
      <c r="Z33" s="8"/>
      <c r="AA33" s="9"/>
    </row>
    <row r="34" spans="2:27" ht="21.6" customHeight="1">
      <c r="B34" s="7"/>
      <c r="C34" s="96"/>
      <c r="D34" s="96"/>
      <c r="E34" s="96"/>
      <c r="F34" s="8"/>
      <c r="G34" s="8"/>
      <c r="H34" s="8"/>
      <c r="I34" s="8"/>
      <c r="J34" s="8"/>
      <c r="K34" s="8"/>
      <c r="L34" s="8"/>
      <c r="M34" s="8"/>
      <c r="N34" s="9"/>
      <c r="O34" s="7"/>
      <c r="P34" s="96"/>
      <c r="Q34" s="96"/>
      <c r="R34" s="96"/>
      <c r="S34" s="8"/>
      <c r="T34" s="8"/>
      <c r="U34" s="8"/>
      <c r="V34" s="8"/>
      <c r="W34" s="8"/>
      <c r="X34" s="8"/>
      <c r="Y34" s="8"/>
      <c r="Z34" s="8"/>
      <c r="AA34" s="9"/>
    </row>
    <row r="35" spans="2:27" ht="21.6" customHeight="1">
      <c r="B35" s="7"/>
      <c r="C35" s="107" t="s">
        <v>7</v>
      </c>
      <c r="D35" s="107"/>
      <c r="E35" s="107"/>
      <c r="F35" s="14"/>
      <c r="G35" s="8"/>
      <c r="H35" s="8"/>
      <c r="I35" s="8"/>
      <c r="J35" s="8"/>
      <c r="K35" s="8"/>
      <c r="L35" s="8"/>
      <c r="M35" s="8"/>
      <c r="N35" s="9"/>
      <c r="O35" s="7"/>
      <c r="P35" s="107" t="s">
        <v>7</v>
      </c>
      <c r="Q35" s="107"/>
      <c r="R35" s="107"/>
      <c r="S35" s="14"/>
      <c r="T35" s="8"/>
      <c r="U35" s="8"/>
      <c r="V35" s="8"/>
      <c r="W35" s="8"/>
      <c r="X35" s="8"/>
      <c r="Y35" s="8"/>
      <c r="Z35" s="8"/>
      <c r="AA35" s="9"/>
    </row>
    <row r="36" spans="2:27" ht="21.6" customHeight="1">
      <c r="B36" s="7"/>
      <c r="C36" s="107"/>
      <c r="D36" s="107"/>
      <c r="E36" s="107"/>
      <c r="F36" s="14"/>
      <c r="G36" s="8"/>
      <c r="H36" s="8"/>
      <c r="I36" s="8"/>
      <c r="J36" s="8"/>
      <c r="K36" s="8"/>
      <c r="L36" s="8"/>
      <c r="M36" s="8"/>
      <c r="N36" s="9"/>
      <c r="O36" s="7"/>
      <c r="P36" s="107"/>
      <c r="Q36" s="107"/>
      <c r="R36" s="107"/>
      <c r="S36" s="14"/>
      <c r="T36" s="8"/>
      <c r="U36" s="8"/>
      <c r="V36" s="8"/>
      <c r="W36" s="8"/>
      <c r="X36" s="8"/>
      <c r="Y36" s="8"/>
      <c r="Z36" s="8"/>
      <c r="AA36" s="9"/>
    </row>
    <row r="37" spans="2:27" ht="21.6" customHeight="1">
      <c r="B37" s="7"/>
      <c r="C37" s="107"/>
      <c r="D37" s="107"/>
      <c r="E37" s="107"/>
      <c r="F37" s="14"/>
      <c r="G37" s="8"/>
      <c r="H37" s="8"/>
      <c r="I37" s="8"/>
      <c r="J37" s="8"/>
      <c r="K37" s="8"/>
      <c r="L37" s="8"/>
      <c r="M37" s="8"/>
      <c r="N37" s="9"/>
      <c r="O37" s="7"/>
      <c r="P37" s="107"/>
      <c r="Q37" s="107"/>
      <c r="R37" s="107"/>
      <c r="S37" s="14"/>
      <c r="T37" s="8"/>
      <c r="U37" s="8"/>
      <c r="V37" s="8"/>
      <c r="W37" s="8"/>
      <c r="X37" s="8"/>
      <c r="Y37" s="8"/>
      <c r="Z37" s="8"/>
      <c r="AA37" s="9"/>
    </row>
    <row r="38" spans="2:27" ht="21.6" customHeight="1">
      <c r="B38" s="17">
        <v>2</v>
      </c>
      <c r="C38" s="15"/>
      <c r="D38" s="106" t="str">
        <f>IF('Financial Statements'!E$41&gt;0,"WC&gt;0","WC&lt;0")</f>
        <v>WC&gt;0</v>
      </c>
      <c r="E38" s="106"/>
      <c r="F38" s="106"/>
      <c r="G38" s="106" t="str">
        <f>IF('Financial Statements'!E$42&gt;0,"WCN&gt;0","WCN&lt;0")</f>
        <v>WCN&gt;0</v>
      </c>
      <c r="H38" s="106"/>
      <c r="I38" s="106"/>
      <c r="J38" s="106" t="str">
        <f>IF('Financial Statements'!E$43&gt;0,"NC&gt;0","NC&lt;0")</f>
        <v>NC&gt;0</v>
      </c>
      <c r="K38" s="106"/>
      <c r="L38" s="106"/>
      <c r="M38" s="16"/>
      <c r="N38" s="9"/>
      <c r="O38" s="17">
        <v>18</v>
      </c>
      <c r="P38" s="15"/>
      <c r="Q38" s="106" t="str">
        <f>IF('Financial Statements'!G$41&gt;0,"WC&gt;0","WC&lt;0")</f>
        <v>WC&gt;0</v>
      </c>
      <c r="R38" s="106"/>
      <c r="S38" s="106"/>
      <c r="T38" s="106" t="str">
        <f>IF('Financial Statements'!G$42&gt;0,"WCN&gt;0","WCN&lt;0")</f>
        <v>WCN&gt;0</v>
      </c>
      <c r="U38" s="106"/>
      <c r="V38" s="106"/>
      <c r="W38" s="106" t="str">
        <f>IF('Financial Statements'!G$43&gt;0,"NC&gt;0","NC&lt;0")</f>
        <v>NC&gt;0</v>
      </c>
      <c r="X38" s="106"/>
      <c r="Y38" s="106"/>
      <c r="Z38" s="16"/>
      <c r="AA38" s="9"/>
    </row>
    <row r="39" spans="2:27" ht="21.6" customHeight="1">
      <c r="B39" s="7"/>
      <c r="C39" s="14"/>
      <c r="D39" s="14"/>
      <c r="E39" s="14"/>
      <c r="F39" s="14"/>
      <c r="G39" s="8"/>
      <c r="H39" s="8"/>
      <c r="I39" s="8"/>
      <c r="J39" s="8"/>
      <c r="K39" s="8"/>
      <c r="L39" s="8"/>
      <c r="M39" s="8"/>
      <c r="N39" s="9"/>
      <c r="O39" s="7"/>
      <c r="P39" s="14"/>
      <c r="Q39" s="14"/>
      <c r="R39" s="14"/>
      <c r="S39" s="14"/>
      <c r="T39" s="8"/>
      <c r="U39" s="8"/>
      <c r="V39" s="8"/>
      <c r="W39" s="8"/>
      <c r="X39" s="8"/>
      <c r="Y39" s="8"/>
      <c r="Z39" s="8"/>
      <c r="AA39" s="9"/>
    </row>
    <row r="40" spans="2:27" ht="21.6" customHeight="1">
      <c r="B40" s="7"/>
      <c r="C40" s="95"/>
      <c r="D40" s="95"/>
      <c r="E40" s="95"/>
      <c r="F40" s="95"/>
      <c r="G40" s="95"/>
      <c r="H40" s="95"/>
      <c r="I40" s="95"/>
      <c r="J40" s="95"/>
      <c r="K40" s="95"/>
      <c r="L40" s="95"/>
      <c r="M40" s="95"/>
      <c r="N40" s="9"/>
      <c r="O40" s="7"/>
      <c r="P40" s="95"/>
      <c r="Q40" s="95"/>
      <c r="R40" s="95"/>
      <c r="S40" s="95"/>
      <c r="T40" s="95"/>
      <c r="U40" s="95"/>
      <c r="V40" s="95"/>
      <c r="W40" s="95"/>
      <c r="X40" s="95"/>
      <c r="Y40" s="95"/>
      <c r="Z40" s="95"/>
      <c r="AA40" s="9"/>
    </row>
    <row r="41" spans="2:27" ht="21.6" customHeight="1">
      <c r="B41" s="7"/>
      <c r="C41" s="13"/>
      <c r="D41" s="13"/>
      <c r="E41" s="13"/>
      <c r="F41" s="13"/>
      <c r="G41" s="13"/>
      <c r="H41" s="13"/>
      <c r="I41" s="13"/>
      <c r="J41" s="13"/>
      <c r="K41" s="13"/>
      <c r="L41" s="13"/>
      <c r="M41" s="13"/>
      <c r="N41" s="9"/>
      <c r="O41" s="7"/>
      <c r="P41" s="13"/>
      <c r="Q41" s="13"/>
      <c r="R41" s="13"/>
      <c r="S41" s="13"/>
      <c r="T41" s="13"/>
      <c r="U41" s="13"/>
      <c r="V41" s="13"/>
      <c r="W41" s="13"/>
      <c r="X41" s="13"/>
      <c r="Y41" s="13"/>
      <c r="Z41" s="13"/>
      <c r="AA41" s="9"/>
    </row>
    <row r="42" spans="2:27" ht="21.6" customHeight="1">
      <c r="B42" s="7"/>
      <c r="C42" s="44" t="s">
        <v>9</v>
      </c>
      <c r="D42" s="13"/>
      <c r="E42" s="13"/>
      <c r="F42" s="13"/>
      <c r="G42" s="13"/>
      <c r="H42" s="13"/>
      <c r="I42" s="13"/>
      <c r="J42" s="13"/>
      <c r="K42" s="13"/>
      <c r="L42" s="13"/>
      <c r="M42" s="13"/>
      <c r="N42" s="9"/>
      <c r="O42" s="7"/>
      <c r="P42" s="44" t="s">
        <v>9</v>
      </c>
      <c r="Q42" s="13"/>
      <c r="R42" s="13"/>
      <c r="S42" s="13"/>
      <c r="T42" s="13"/>
      <c r="U42" s="13"/>
      <c r="V42" s="13"/>
      <c r="W42" s="13"/>
      <c r="X42" s="13"/>
      <c r="Y42" s="13"/>
      <c r="Z42" s="13"/>
      <c r="AA42" s="9"/>
    </row>
    <row r="43" spans="2:27" ht="21.6" customHeight="1">
      <c r="B43" s="7"/>
      <c r="C43" s="13"/>
      <c r="D43" s="13"/>
      <c r="E43" s="13"/>
      <c r="F43" s="13"/>
      <c r="G43" s="13"/>
      <c r="H43" s="13"/>
      <c r="I43" s="13"/>
      <c r="J43" s="13"/>
      <c r="K43" s="13"/>
      <c r="L43" s="13"/>
      <c r="M43" s="13"/>
      <c r="N43" s="9"/>
      <c r="O43" s="7"/>
      <c r="P43" s="13"/>
      <c r="Q43" s="13"/>
      <c r="R43" s="13"/>
      <c r="S43" s="13"/>
      <c r="T43" s="13"/>
      <c r="U43" s="13"/>
      <c r="V43" s="13"/>
      <c r="W43" s="13"/>
      <c r="X43" s="13"/>
      <c r="Y43" s="13"/>
      <c r="Z43" s="13"/>
      <c r="AA43" s="9"/>
    </row>
    <row r="44" spans="2:27" ht="21.6" customHeight="1">
      <c r="B44" s="7"/>
      <c r="C44" s="105" t="s">
        <v>10</v>
      </c>
      <c r="D44" s="105"/>
      <c r="E44" s="105"/>
      <c r="F44" s="105"/>
      <c r="G44" s="105"/>
      <c r="H44" s="105"/>
      <c r="I44" s="105"/>
      <c r="J44" s="105"/>
      <c r="K44" s="105"/>
      <c r="L44" s="105"/>
      <c r="M44" s="105"/>
      <c r="N44" s="9"/>
      <c r="O44" s="7"/>
      <c r="P44" s="105" t="s">
        <v>10</v>
      </c>
      <c r="Q44" s="105"/>
      <c r="R44" s="105"/>
      <c r="S44" s="105"/>
      <c r="T44" s="105"/>
      <c r="U44" s="105"/>
      <c r="V44" s="105"/>
      <c r="W44" s="105"/>
      <c r="X44" s="105"/>
      <c r="Y44" s="105"/>
      <c r="Z44" s="105"/>
      <c r="AA44" s="9"/>
    </row>
    <row r="45" spans="2:27" ht="21.6" customHeight="1">
      <c r="B45" s="7"/>
      <c r="C45" s="105"/>
      <c r="D45" s="105"/>
      <c r="E45" s="105"/>
      <c r="F45" s="105"/>
      <c r="G45" s="105"/>
      <c r="H45" s="105"/>
      <c r="I45" s="105"/>
      <c r="J45" s="105"/>
      <c r="K45" s="105"/>
      <c r="L45" s="105"/>
      <c r="M45" s="105"/>
      <c r="N45" s="9"/>
      <c r="O45" s="7"/>
      <c r="P45" s="105"/>
      <c r="Q45" s="105"/>
      <c r="R45" s="105"/>
      <c r="S45" s="105"/>
      <c r="T45" s="105"/>
      <c r="U45" s="105"/>
      <c r="V45" s="105"/>
      <c r="W45" s="105"/>
      <c r="X45" s="105"/>
      <c r="Y45" s="105"/>
      <c r="Z45" s="105"/>
      <c r="AA45" s="9"/>
    </row>
    <row r="46" spans="2:27" ht="21.6" customHeight="1">
      <c r="B46" s="7"/>
      <c r="C46" s="105"/>
      <c r="D46" s="105"/>
      <c r="E46" s="105"/>
      <c r="F46" s="105"/>
      <c r="G46" s="105"/>
      <c r="H46" s="105"/>
      <c r="I46" s="105"/>
      <c r="J46" s="105"/>
      <c r="K46" s="105"/>
      <c r="L46" s="105"/>
      <c r="M46" s="105"/>
      <c r="N46" s="9"/>
      <c r="O46" s="7"/>
      <c r="P46" s="105"/>
      <c r="Q46" s="105"/>
      <c r="R46" s="105"/>
      <c r="S46" s="105"/>
      <c r="T46" s="105"/>
      <c r="U46" s="105"/>
      <c r="V46" s="105"/>
      <c r="W46" s="105"/>
      <c r="X46" s="105"/>
      <c r="Y46" s="105"/>
      <c r="Z46" s="105"/>
      <c r="AA46" s="9"/>
    </row>
    <row r="47" spans="2:27" ht="21.6" customHeight="1">
      <c r="B47" s="10"/>
      <c r="C47" s="11"/>
      <c r="D47" s="11"/>
      <c r="E47" s="11"/>
      <c r="F47" s="11"/>
      <c r="G47" s="11"/>
      <c r="H47" s="11"/>
      <c r="I47" s="11"/>
      <c r="J47" s="11"/>
      <c r="K47" s="11"/>
      <c r="L47" s="11"/>
      <c r="M47" s="11"/>
      <c r="N47" s="12"/>
      <c r="O47" s="10"/>
      <c r="P47" s="11"/>
      <c r="Q47" s="11"/>
      <c r="R47" s="11"/>
      <c r="S47" s="11"/>
      <c r="T47" s="11"/>
      <c r="U47" s="11"/>
      <c r="V47" s="11"/>
      <c r="W47" s="11"/>
      <c r="X47" s="11"/>
      <c r="Y47" s="11"/>
      <c r="Z47" s="11"/>
      <c r="AA47" s="12"/>
    </row>
    <row r="48" spans="2:27" ht="21.6" customHeight="1">
      <c r="B48" s="4"/>
      <c r="C48" s="5"/>
      <c r="D48" s="5"/>
      <c r="E48" s="5"/>
      <c r="F48" s="5"/>
      <c r="G48" s="5"/>
      <c r="H48" s="5"/>
      <c r="I48" s="5"/>
      <c r="J48" s="5"/>
      <c r="K48" s="5"/>
      <c r="L48" s="5"/>
      <c r="M48" s="5"/>
      <c r="N48" s="5"/>
      <c r="O48" s="5"/>
      <c r="P48" s="5"/>
      <c r="Q48" s="5"/>
      <c r="R48" s="5"/>
      <c r="S48" s="5"/>
      <c r="T48" s="5"/>
      <c r="U48" s="5"/>
      <c r="V48" s="5"/>
      <c r="W48" s="5"/>
      <c r="X48" s="5"/>
      <c r="Y48" s="5"/>
      <c r="Z48" s="5"/>
      <c r="AA48" s="6"/>
    </row>
    <row r="49" spans="2:27" ht="21.6" customHeight="1">
      <c r="B49" s="7"/>
      <c r="C49" s="8"/>
      <c r="D49" s="8"/>
      <c r="E49" s="8"/>
      <c r="F49" s="8"/>
      <c r="G49" s="8"/>
      <c r="H49" s="8"/>
      <c r="I49" s="8"/>
      <c r="J49" s="8"/>
      <c r="K49" s="8"/>
      <c r="L49" s="8"/>
      <c r="M49" s="8"/>
      <c r="N49" s="8"/>
      <c r="O49" s="8"/>
      <c r="P49" s="8"/>
      <c r="Q49" s="8"/>
      <c r="R49" s="8"/>
      <c r="S49" s="8"/>
      <c r="T49" s="8"/>
      <c r="U49" s="8"/>
      <c r="V49" s="8"/>
      <c r="W49" s="8"/>
      <c r="X49" s="8"/>
      <c r="Y49" s="8"/>
      <c r="Z49" s="8"/>
      <c r="AA49" s="9"/>
    </row>
    <row r="50" spans="2:27" ht="21.6" customHeight="1">
      <c r="B50" s="7"/>
      <c r="C50" s="19"/>
      <c r="D50" s="19"/>
      <c r="E50" s="19"/>
      <c r="F50" s="8"/>
      <c r="G50" s="8"/>
      <c r="H50" s="8"/>
      <c r="I50" s="8"/>
      <c r="J50" s="8"/>
      <c r="K50" s="8"/>
      <c r="L50" s="8"/>
      <c r="M50" s="8"/>
      <c r="N50" s="8"/>
      <c r="O50" s="8"/>
      <c r="P50" s="19"/>
      <c r="Q50" s="19"/>
      <c r="R50" s="19"/>
      <c r="S50" s="8"/>
      <c r="T50" s="8"/>
      <c r="U50" s="8"/>
      <c r="V50" s="8"/>
      <c r="W50" s="8"/>
      <c r="X50" s="8"/>
      <c r="Y50" s="8"/>
      <c r="Z50" s="8"/>
      <c r="AA50" s="9"/>
    </row>
    <row r="51" spans="2:27" ht="21.6" customHeight="1">
      <c r="B51" s="7"/>
      <c r="C51" s="19"/>
      <c r="D51" s="19"/>
      <c r="E51" s="19"/>
      <c r="F51" s="8"/>
      <c r="G51" s="8"/>
      <c r="H51" s="8"/>
      <c r="I51" s="8"/>
      <c r="J51" s="8"/>
      <c r="K51" s="8"/>
      <c r="L51" s="8"/>
      <c r="M51" s="8"/>
      <c r="N51" s="8"/>
      <c r="O51" s="8"/>
      <c r="P51" s="19"/>
      <c r="Q51" s="19"/>
      <c r="R51" s="19"/>
      <c r="S51" s="8"/>
      <c r="T51" s="8"/>
      <c r="U51" s="8"/>
      <c r="V51" s="8"/>
      <c r="W51" s="8"/>
      <c r="X51" s="8"/>
      <c r="Y51" s="8"/>
      <c r="Z51" s="8"/>
      <c r="AA51" s="9"/>
    </row>
    <row r="52" spans="2:27" ht="21.6" customHeight="1">
      <c r="B52" s="7"/>
      <c r="C52" s="19"/>
      <c r="D52" s="19"/>
      <c r="E52" s="19"/>
      <c r="F52" s="8"/>
      <c r="G52" s="8"/>
      <c r="H52" s="8"/>
      <c r="I52" s="8"/>
      <c r="J52" s="8"/>
      <c r="K52" s="8"/>
      <c r="L52" s="8"/>
      <c r="M52" s="8"/>
      <c r="N52" s="8"/>
      <c r="O52" s="8"/>
      <c r="P52" s="19"/>
      <c r="Q52" s="19"/>
      <c r="R52" s="19"/>
      <c r="S52" s="8"/>
      <c r="T52" s="8"/>
      <c r="U52" s="8"/>
      <c r="V52" s="8"/>
      <c r="W52" s="8"/>
      <c r="X52" s="8"/>
      <c r="Y52" s="8"/>
      <c r="Z52" s="8"/>
      <c r="AA52" s="9"/>
    </row>
    <row r="53" spans="2:27" ht="21.6" customHeight="1">
      <c r="B53" s="7"/>
      <c r="C53" s="42"/>
      <c r="D53" s="42"/>
      <c r="E53" s="42"/>
      <c r="F53" s="14"/>
      <c r="G53" s="8"/>
      <c r="H53" s="8"/>
      <c r="I53" s="8"/>
      <c r="J53" s="8"/>
      <c r="K53" s="8"/>
      <c r="L53" s="8"/>
      <c r="M53" s="8"/>
      <c r="N53" s="8"/>
      <c r="O53" s="8"/>
      <c r="P53" s="42"/>
      <c r="Q53" s="42"/>
      <c r="R53" s="42"/>
      <c r="S53" s="14"/>
      <c r="T53" s="8"/>
      <c r="U53" s="8"/>
      <c r="V53" s="8"/>
      <c r="W53" s="8"/>
      <c r="X53" s="8"/>
      <c r="Y53" s="8"/>
      <c r="Z53" s="8"/>
      <c r="AA53" s="9"/>
    </row>
    <row r="54" spans="2:27" ht="25.7" customHeight="1">
      <c r="B54" s="7"/>
      <c r="C54" s="42"/>
      <c r="D54" s="42"/>
      <c r="E54" s="42"/>
      <c r="F54" s="14"/>
      <c r="G54" s="8"/>
      <c r="H54" s="8"/>
      <c r="I54" s="8"/>
      <c r="J54" s="8"/>
      <c r="K54" s="8"/>
      <c r="L54" s="8"/>
      <c r="M54" s="8"/>
      <c r="N54" s="8"/>
      <c r="O54" s="8"/>
      <c r="P54" s="42"/>
      <c r="Q54" s="42"/>
      <c r="R54" s="42"/>
      <c r="S54" s="14"/>
      <c r="T54" s="8"/>
      <c r="U54" s="8"/>
      <c r="V54" s="8"/>
      <c r="W54" s="8"/>
      <c r="X54" s="8"/>
      <c r="Y54" s="8"/>
      <c r="Z54" s="8"/>
      <c r="AA54" s="9"/>
    </row>
    <row r="55" spans="2:27" ht="25.7" customHeight="1">
      <c r="B55" s="7"/>
      <c r="C55" s="42"/>
      <c r="D55" s="42"/>
      <c r="E55" s="42"/>
      <c r="F55" s="14"/>
      <c r="G55" s="8"/>
      <c r="H55" s="8"/>
      <c r="I55" s="8"/>
      <c r="J55" s="8"/>
      <c r="K55" s="8"/>
      <c r="L55" s="8"/>
      <c r="M55" s="8"/>
      <c r="N55" s="8"/>
      <c r="O55" s="8"/>
      <c r="P55" s="42"/>
      <c r="Q55" s="42"/>
      <c r="R55" s="42"/>
      <c r="S55" s="14"/>
      <c r="T55" s="8"/>
      <c r="U55" s="8"/>
      <c r="V55" s="8"/>
      <c r="W55" s="8"/>
      <c r="X55" s="8"/>
      <c r="Y55" s="8"/>
      <c r="Z55" s="8"/>
      <c r="AA55" s="9"/>
    </row>
    <row r="56" spans="2:27" ht="25.7" customHeight="1">
      <c r="B56" s="17"/>
      <c r="C56" s="15"/>
      <c r="D56" s="15"/>
      <c r="E56" s="15"/>
      <c r="F56" s="15"/>
      <c r="G56" s="15"/>
      <c r="H56" s="15"/>
      <c r="I56" s="15"/>
      <c r="J56" s="15"/>
      <c r="K56" s="15"/>
      <c r="L56" s="15"/>
      <c r="M56" s="16"/>
      <c r="N56" s="8"/>
      <c r="O56" s="43"/>
      <c r="P56" s="15"/>
      <c r="Q56" s="15"/>
      <c r="R56" s="15"/>
      <c r="S56" s="15"/>
      <c r="T56" s="15"/>
      <c r="U56" s="15"/>
      <c r="V56" s="15"/>
      <c r="W56" s="15"/>
      <c r="X56" s="15"/>
      <c r="Y56" s="15"/>
      <c r="Z56" s="16"/>
      <c r="AA56" s="9"/>
    </row>
    <row r="57" spans="2:27" ht="25.7" customHeight="1">
      <c r="B57" s="7"/>
      <c r="C57" s="45"/>
      <c r="D57" s="45"/>
      <c r="E57" s="45"/>
      <c r="F57" s="14"/>
      <c r="G57" s="8"/>
      <c r="H57" s="8"/>
      <c r="I57" s="8"/>
      <c r="J57" s="8"/>
      <c r="K57" s="8"/>
      <c r="L57" s="8"/>
      <c r="M57" s="8"/>
      <c r="N57" s="8"/>
      <c r="O57" s="8"/>
      <c r="P57" s="45"/>
      <c r="Q57" s="45"/>
      <c r="R57" s="45"/>
      <c r="S57" s="14"/>
      <c r="T57" s="8"/>
      <c r="U57" s="8"/>
      <c r="V57" s="8"/>
      <c r="W57" s="8"/>
      <c r="X57" s="8"/>
      <c r="Y57" s="8"/>
      <c r="Z57" s="8"/>
      <c r="AA57" s="9"/>
    </row>
    <row r="58" spans="2:27" ht="25.7" customHeight="1">
      <c r="B58" s="7"/>
      <c r="C58" s="15"/>
      <c r="D58" s="15"/>
      <c r="E58" s="8"/>
      <c r="F58" s="8"/>
      <c r="G58" s="8"/>
      <c r="H58" s="8"/>
      <c r="I58" s="8"/>
      <c r="J58" s="8"/>
      <c r="K58" s="8"/>
      <c r="L58" s="8"/>
      <c r="M58" s="8"/>
      <c r="N58" s="8"/>
      <c r="O58" s="8"/>
      <c r="P58"/>
      <c r="Q58" s="8"/>
      <c r="R58" s="8"/>
      <c r="S58" s="8"/>
      <c r="T58" s="8"/>
      <c r="U58" s="8"/>
      <c r="V58" s="8"/>
      <c r="W58" s="8"/>
      <c r="X58" s="8"/>
      <c r="Y58" s="8"/>
      <c r="Z58" s="8"/>
      <c r="AA58" s="9"/>
    </row>
    <row r="59" spans="2:27" ht="25.7" customHeight="1">
      <c r="B59" s="7"/>
      <c r="C59" s="45"/>
      <c r="D59" s="14"/>
      <c r="E59" s="8"/>
      <c r="F59" s="13"/>
      <c r="G59" s="13"/>
      <c r="H59" s="13"/>
      <c r="I59" s="13"/>
      <c r="J59" s="13"/>
      <c r="K59" s="13"/>
      <c r="L59" s="13"/>
      <c r="M59" s="13"/>
      <c r="N59" s="8"/>
      <c r="O59" s="8"/>
      <c r="P59" s="15"/>
      <c r="Q59" s="15"/>
      <c r="R59" s="8"/>
      <c r="S59" s="13"/>
      <c r="T59" s="13"/>
      <c r="U59" s="13"/>
      <c r="V59" s="13"/>
      <c r="W59" s="13"/>
      <c r="X59" s="13"/>
      <c r="Y59" s="13"/>
      <c r="Z59" s="13"/>
      <c r="AA59" s="9"/>
    </row>
    <row r="60" spans="2:27" ht="25.7" customHeight="1">
      <c r="B60" s="7"/>
      <c r="C60" s="46"/>
      <c r="D60" s="8"/>
      <c r="E60" s="8"/>
      <c r="F60" s="13"/>
      <c r="G60" s="13"/>
      <c r="H60" s="13"/>
      <c r="I60" s="13"/>
      <c r="J60" s="13"/>
      <c r="K60" s="13"/>
      <c r="L60" s="13"/>
      <c r="M60" s="13"/>
      <c r="N60" s="8"/>
      <c r="O60" s="8"/>
      <c r="P60" s="45"/>
      <c r="Q60" s="14"/>
      <c r="R60" s="8"/>
      <c r="S60" s="13"/>
      <c r="T60" s="13"/>
      <c r="U60" s="13"/>
      <c r="V60" s="13"/>
      <c r="W60" s="13"/>
      <c r="X60" s="13"/>
      <c r="Y60" s="13"/>
      <c r="Z60" s="13"/>
      <c r="AA60" s="9"/>
    </row>
    <row r="61" spans="2:27" ht="25.7" customHeight="1">
      <c r="B61" s="7"/>
      <c r="C61" s="8"/>
      <c r="D61" s="8"/>
      <c r="E61" s="8"/>
      <c r="F61" s="13"/>
      <c r="G61" s="13"/>
      <c r="H61" s="13"/>
      <c r="I61" s="13"/>
      <c r="J61" s="13"/>
      <c r="K61" s="13"/>
      <c r="L61" s="13"/>
      <c r="M61" s="13"/>
      <c r="N61" s="8"/>
      <c r="O61" s="8"/>
      <c r="P61" s="8"/>
      <c r="Q61" s="8"/>
      <c r="R61" s="8"/>
      <c r="S61" s="13"/>
      <c r="T61" s="13"/>
      <c r="U61" s="13"/>
      <c r="V61" s="13"/>
      <c r="W61" s="13"/>
      <c r="X61" s="13"/>
      <c r="Y61" s="13"/>
      <c r="Z61" s="13"/>
      <c r="AA61" s="9"/>
    </row>
    <row r="62" spans="2:27" ht="25.7" customHeight="1">
      <c r="B62" s="7"/>
      <c r="C62" s="8"/>
      <c r="D62" s="8"/>
      <c r="E62" s="8"/>
      <c r="F62" s="13"/>
      <c r="G62" s="13"/>
      <c r="H62" s="13"/>
      <c r="I62" s="13"/>
      <c r="J62" s="13"/>
      <c r="K62" s="13"/>
      <c r="L62" s="13"/>
      <c r="M62" s="13"/>
      <c r="N62" s="8"/>
      <c r="O62" s="8"/>
      <c r="P62" s="8"/>
      <c r="Q62" s="8"/>
      <c r="R62" s="8"/>
      <c r="S62" s="13"/>
      <c r="T62" s="13"/>
      <c r="U62" s="13"/>
      <c r="V62" s="13"/>
      <c r="W62" s="13"/>
      <c r="X62" s="13"/>
      <c r="Y62" s="13"/>
      <c r="Z62" s="13"/>
      <c r="AA62" s="9"/>
    </row>
    <row r="63" spans="2:27" ht="25.7" customHeight="1">
      <c r="B63" s="7"/>
      <c r="C63"/>
      <c r="D63" s="13"/>
      <c r="E63" s="13"/>
      <c r="F63" s="13"/>
      <c r="G63" s="13"/>
      <c r="H63" s="13"/>
      <c r="I63" s="13"/>
      <c r="J63" s="13"/>
      <c r="K63" s="13"/>
      <c r="L63" s="13"/>
      <c r="M63" s="13"/>
      <c r="N63" s="8"/>
      <c r="O63" s="8"/>
      <c r="P63"/>
      <c r="Q63" s="13"/>
      <c r="R63" s="13"/>
      <c r="S63" s="13"/>
      <c r="T63" s="13"/>
      <c r="U63" s="13"/>
      <c r="V63" s="13"/>
      <c r="W63" s="13"/>
      <c r="X63" s="13"/>
      <c r="Y63" s="13"/>
      <c r="Z63" s="13"/>
      <c r="AA63" s="9"/>
    </row>
    <row r="64" spans="2:27" ht="25.7" customHeight="1">
      <c r="B64" s="7"/>
      <c r="C64" s="8"/>
      <c r="D64" s="8"/>
      <c r="E64" s="8"/>
      <c r="F64" s="8"/>
      <c r="G64" s="8"/>
      <c r="H64" s="8"/>
      <c r="I64" s="8"/>
      <c r="J64" s="8"/>
      <c r="K64" s="8"/>
      <c r="L64" s="8"/>
      <c r="M64" s="8"/>
      <c r="N64" s="8"/>
      <c r="O64" s="8"/>
      <c r="P64" s="8"/>
      <c r="Q64" s="8"/>
      <c r="R64" s="8"/>
      <c r="S64" s="8"/>
      <c r="T64" s="8"/>
      <c r="U64" s="8"/>
      <c r="V64" s="8"/>
      <c r="W64" s="8"/>
      <c r="X64" s="8"/>
      <c r="Y64" s="8"/>
      <c r="Z64" s="8"/>
      <c r="AA64" s="9"/>
    </row>
    <row r="65" spans="2:27" ht="25.7" customHeight="1">
      <c r="B65" s="10"/>
      <c r="C65" s="11"/>
      <c r="D65" s="11"/>
      <c r="E65" s="11"/>
      <c r="F65" s="11"/>
      <c r="G65" s="11"/>
      <c r="H65" s="11"/>
      <c r="I65" s="11"/>
      <c r="J65" s="11"/>
      <c r="K65" s="11"/>
      <c r="L65" s="11"/>
      <c r="M65" s="11"/>
      <c r="N65" s="11"/>
      <c r="O65" s="11"/>
      <c r="P65" s="11"/>
      <c r="Q65" s="11"/>
      <c r="R65" s="11"/>
      <c r="S65" s="11"/>
      <c r="T65" s="11"/>
      <c r="U65" s="11"/>
      <c r="V65" s="11"/>
      <c r="W65" s="11"/>
      <c r="X65" s="11"/>
      <c r="Y65" s="11"/>
      <c r="Z65" s="11"/>
      <c r="AA65" s="12"/>
    </row>
    <row r="66" spans="2:27" ht="25.7" customHeight="1"/>
    <row r="67" spans="2:27" ht="25.7" customHeight="1"/>
    <row r="68" spans="2:27" ht="25.7" customHeight="1">
      <c r="B68" s="4"/>
      <c r="C68" s="5"/>
      <c r="D68" s="5"/>
      <c r="E68" s="5"/>
      <c r="F68" s="5"/>
      <c r="G68" s="5"/>
      <c r="H68" s="5"/>
      <c r="I68" s="5"/>
      <c r="J68" s="5"/>
      <c r="K68" s="5"/>
      <c r="L68" s="5"/>
      <c r="M68" s="5"/>
      <c r="N68" s="6"/>
      <c r="O68" s="4"/>
      <c r="P68" s="5"/>
      <c r="Q68" s="5"/>
      <c r="R68" s="5"/>
      <c r="S68" s="5"/>
      <c r="T68" s="5"/>
      <c r="U68" s="5"/>
      <c r="V68" s="5"/>
      <c r="W68" s="5"/>
      <c r="X68" s="5"/>
      <c r="Y68" s="5"/>
      <c r="Z68" s="5"/>
      <c r="AA68" s="6"/>
    </row>
    <row r="69" spans="2:27" ht="25.7" customHeight="1">
      <c r="B69" s="7"/>
      <c r="C69" s="104" t="s">
        <v>14</v>
      </c>
      <c r="D69" s="104"/>
      <c r="E69" s="104"/>
      <c r="F69" s="104"/>
      <c r="G69" s="104"/>
      <c r="H69" s="104"/>
      <c r="I69" s="104"/>
      <c r="J69" s="104"/>
      <c r="K69" s="104"/>
      <c r="L69" s="104"/>
      <c r="M69" s="104"/>
      <c r="N69" s="9"/>
      <c r="O69" s="7"/>
      <c r="P69" s="104" t="s">
        <v>15</v>
      </c>
      <c r="Q69" s="104"/>
      <c r="R69" s="104"/>
      <c r="S69" s="104"/>
      <c r="T69" s="104"/>
      <c r="U69" s="104"/>
      <c r="V69" s="104"/>
      <c r="W69" s="104"/>
      <c r="X69" s="104"/>
      <c r="Y69" s="104"/>
      <c r="Z69" s="104"/>
      <c r="AA69" s="9"/>
    </row>
    <row r="70" spans="2:27" ht="25.7" customHeight="1">
      <c r="B70" s="7"/>
      <c r="C70" s="104"/>
      <c r="D70" s="104"/>
      <c r="E70" s="104"/>
      <c r="F70" s="104"/>
      <c r="G70" s="104"/>
      <c r="H70" s="104"/>
      <c r="I70" s="104"/>
      <c r="J70" s="104"/>
      <c r="K70" s="104"/>
      <c r="L70" s="104"/>
      <c r="M70" s="104"/>
      <c r="N70" s="9"/>
      <c r="O70" s="7"/>
      <c r="P70" s="104"/>
      <c r="Q70" s="104"/>
      <c r="R70" s="104"/>
      <c r="S70" s="104"/>
      <c r="T70" s="104"/>
      <c r="U70" s="104"/>
      <c r="V70" s="104"/>
      <c r="W70" s="104"/>
      <c r="X70" s="104"/>
      <c r="Y70" s="104"/>
      <c r="Z70" s="104"/>
      <c r="AA70" s="9"/>
    </row>
    <row r="71" spans="2:27" ht="25.7" customHeight="1">
      <c r="B71" s="7"/>
      <c r="C71" s="104"/>
      <c r="D71" s="104"/>
      <c r="E71" s="104"/>
      <c r="F71" s="104"/>
      <c r="G71" s="104"/>
      <c r="H71" s="104"/>
      <c r="I71" s="104"/>
      <c r="J71" s="104"/>
      <c r="K71" s="104"/>
      <c r="L71" s="104"/>
      <c r="M71" s="104"/>
      <c r="N71" s="9"/>
      <c r="O71" s="7"/>
      <c r="P71" s="104"/>
      <c r="Q71" s="104"/>
      <c r="R71" s="104"/>
      <c r="S71" s="104"/>
      <c r="T71" s="104"/>
      <c r="U71" s="104"/>
      <c r="V71" s="104"/>
      <c r="W71" s="104"/>
      <c r="X71" s="104"/>
      <c r="Y71" s="104"/>
      <c r="Z71" s="104"/>
      <c r="AA71" s="9"/>
    </row>
    <row r="72" spans="2:27" ht="25.7" customHeight="1">
      <c r="B72" s="7"/>
      <c r="C72" s="96" t="s">
        <v>16</v>
      </c>
      <c r="D72" s="96"/>
      <c r="E72" s="96"/>
      <c r="F72" s="77"/>
      <c r="G72" s="77"/>
      <c r="H72" s="77"/>
      <c r="I72" s="77"/>
      <c r="J72" s="77"/>
      <c r="K72" s="77"/>
      <c r="L72" s="77"/>
      <c r="M72" s="77"/>
      <c r="N72" s="9"/>
      <c r="O72" s="7"/>
      <c r="P72" s="96" t="s">
        <v>17</v>
      </c>
      <c r="Q72" s="96"/>
      <c r="R72" s="96"/>
      <c r="S72" s="77"/>
      <c r="T72" s="77"/>
      <c r="U72" s="77"/>
      <c r="V72" s="77"/>
      <c r="W72" s="77"/>
      <c r="X72" s="77"/>
      <c r="Y72" s="77"/>
      <c r="Z72" s="77"/>
      <c r="AA72" s="9"/>
    </row>
    <row r="73" spans="2:27" ht="25.7" customHeight="1">
      <c r="B73" s="7"/>
      <c r="C73" s="96"/>
      <c r="D73" s="96"/>
      <c r="E73" s="96"/>
      <c r="F73" s="77"/>
      <c r="G73" s="77"/>
      <c r="H73" s="77"/>
      <c r="I73" s="77"/>
      <c r="J73" s="77"/>
      <c r="K73" s="77"/>
      <c r="L73" s="77"/>
      <c r="M73" s="77"/>
      <c r="N73" s="9"/>
      <c r="O73" s="7"/>
      <c r="P73" s="96"/>
      <c r="Q73" s="96"/>
      <c r="R73" s="96"/>
      <c r="S73" s="77"/>
      <c r="T73" s="77"/>
      <c r="U73" s="77"/>
      <c r="V73" s="77"/>
      <c r="W73" s="77"/>
      <c r="X73" s="77"/>
      <c r="Y73" s="77"/>
      <c r="Z73" s="77"/>
      <c r="AA73" s="9"/>
    </row>
    <row r="74" spans="2:27" ht="25.7" customHeight="1">
      <c r="B74" s="7"/>
      <c r="C74" s="96"/>
      <c r="D74" s="96"/>
      <c r="E74" s="96"/>
      <c r="F74" s="77"/>
      <c r="G74" s="77"/>
      <c r="H74" s="77"/>
      <c r="I74" s="77"/>
      <c r="J74" s="77"/>
      <c r="K74" s="77"/>
      <c r="L74" s="77"/>
      <c r="M74" s="77"/>
      <c r="N74" s="9"/>
      <c r="O74" s="7"/>
      <c r="P74" s="96"/>
      <c r="Q74" s="96"/>
      <c r="R74" s="96"/>
      <c r="S74" s="77"/>
      <c r="T74" s="77"/>
      <c r="U74" s="77"/>
      <c r="V74" s="77"/>
      <c r="W74" s="77"/>
      <c r="X74" s="77"/>
      <c r="Y74" s="77"/>
      <c r="Z74" s="77"/>
      <c r="AA74" s="9"/>
    </row>
    <row r="75" spans="2:27" ht="25.7" customHeight="1">
      <c r="B75" s="17"/>
      <c r="C75" s="78" t="s">
        <v>9</v>
      </c>
      <c r="D75" s="13"/>
      <c r="E75" s="13"/>
      <c r="F75" s="13"/>
      <c r="G75" s="13"/>
      <c r="H75" s="13"/>
      <c r="I75" s="13"/>
      <c r="J75" s="13"/>
      <c r="K75" s="13"/>
      <c r="L75" s="13"/>
      <c r="M75" s="13"/>
      <c r="N75" s="9"/>
      <c r="O75" s="17"/>
      <c r="P75" s="78" t="s">
        <v>9</v>
      </c>
      <c r="Q75" s="13"/>
      <c r="R75" s="13"/>
      <c r="S75" s="13"/>
      <c r="T75" s="13"/>
      <c r="U75" s="13"/>
      <c r="V75" s="13"/>
      <c r="W75" s="13"/>
      <c r="X75" s="13"/>
      <c r="Y75" s="13"/>
      <c r="Z75" s="13"/>
      <c r="AA75" s="9"/>
    </row>
    <row r="76" spans="2:27" ht="35.1" customHeight="1">
      <c r="B76" s="7"/>
      <c r="C76" s="102" t="s">
        <v>18</v>
      </c>
      <c r="D76" s="102"/>
      <c r="E76" s="102"/>
      <c r="F76" s="102"/>
      <c r="G76" s="102"/>
      <c r="H76" s="102"/>
      <c r="I76" s="102"/>
      <c r="J76" s="102"/>
      <c r="K76" s="102"/>
      <c r="L76" s="102"/>
      <c r="M76" s="102"/>
      <c r="N76" s="9"/>
      <c r="O76" s="7"/>
      <c r="P76" s="102" t="s">
        <v>19</v>
      </c>
      <c r="Q76" s="102"/>
      <c r="R76" s="102"/>
      <c r="S76" s="102"/>
      <c r="T76" s="102"/>
      <c r="U76" s="102"/>
      <c r="V76" s="102"/>
      <c r="W76" s="102"/>
      <c r="X76" s="102"/>
      <c r="Y76" s="102"/>
      <c r="Z76" s="102"/>
      <c r="AA76" s="9"/>
    </row>
    <row r="77" spans="2:27" ht="25.7" customHeight="1">
      <c r="B77" s="7"/>
      <c r="C77" s="96" t="s">
        <v>20</v>
      </c>
      <c r="D77" s="96"/>
      <c r="E77" s="96"/>
      <c r="F77" s="96"/>
      <c r="G77" s="96"/>
      <c r="H77" s="96"/>
      <c r="I77" s="96"/>
      <c r="J77" s="96"/>
      <c r="K77" s="96"/>
      <c r="L77" s="96"/>
      <c r="M77" s="96"/>
      <c r="N77" s="77"/>
      <c r="O77" s="7"/>
      <c r="P77" s="96" t="s">
        <v>21</v>
      </c>
      <c r="Q77" s="96"/>
      <c r="R77" s="96"/>
      <c r="S77" s="96"/>
      <c r="T77" s="96"/>
      <c r="U77" s="96"/>
      <c r="V77" s="96"/>
      <c r="W77" s="96"/>
      <c r="X77" s="96"/>
      <c r="Y77" s="96"/>
      <c r="Z77" s="96"/>
      <c r="AA77" s="94"/>
    </row>
    <row r="78" spans="2:27" ht="25.7" customHeight="1">
      <c r="B78" s="7"/>
      <c r="C78" s="96"/>
      <c r="D78" s="96"/>
      <c r="E78" s="96"/>
      <c r="F78" s="96"/>
      <c r="G78" s="96"/>
      <c r="H78" s="96"/>
      <c r="I78" s="96"/>
      <c r="J78" s="96"/>
      <c r="K78" s="96"/>
      <c r="L78" s="96"/>
      <c r="M78" s="96"/>
      <c r="N78" s="77"/>
      <c r="O78" s="7"/>
      <c r="P78" s="96"/>
      <c r="Q78" s="96"/>
      <c r="R78" s="96"/>
      <c r="S78" s="96"/>
      <c r="T78" s="96"/>
      <c r="U78" s="96"/>
      <c r="V78" s="96"/>
      <c r="W78" s="96"/>
      <c r="X78" s="96"/>
      <c r="Y78" s="96"/>
      <c r="Z78" s="96"/>
      <c r="AA78" s="94"/>
    </row>
    <row r="79" spans="2:27" ht="25.7" customHeight="1">
      <c r="B79" s="7"/>
      <c r="C79" s="96"/>
      <c r="D79" s="96"/>
      <c r="E79" s="96"/>
      <c r="F79" s="96"/>
      <c r="G79" s="96"/>
      <c r="H79" s="96"/>
      <c r="I79" s="96"/>
      <c r="J79" s="96"/>
      <c r="K79" s="96"/>
      <c r="L79" s="96"/>
      <c r="M79" s="96"/>
      <c r="N79" s="77"/>
      <c r="O79" s="7"/>
      <c r="P79" s="96"/>
      <c r="Q79" s="96"/>
      <c r="R79" s="96"/>
      <c r="S79" s="96"/>
      <c r="T79" s="96"/>
      <c r="U79" s="96"/>
      <c r="V79" s="96"/>
      <c r="W79" s="96"/>
      <c r="X79" s="96"/>
      <c r="Y79" s="96"/>
      <c r="Z79" s="96"/>
      <c r="AA79" s="94"/>
    </row>
    <row r="80" spans="2:27" ht="25.7" customHeight="1">
      <c r="B80" s="7"/>
      <c r="C80" s="44" t="s">
        <v>9</v>
      </c>
      <c r="D80" s="13"/>
      <c r="E80" s="13"/>
      <c r="F80" s="13"/>
      <c r="G80" s="13"/>
      <c r="H80" s="13"/>
      <c r="I80" s="13"/>
      <c r="J80" s="13"/>
      <c r="K80" s="13"/>
      <c r="L80" s="13"/>
      <c r="M80" s="13"/>
      <c r="N80" s="9"/>
      <c r="O80" s="7"/>
      <c r="P80" s="44" t="s">
        <v>9</v>
      </c>
      <c r="Q80" s="13"/>
      <c r="R80" s="13"/>
      <c r="S80" s="13"/>
      <c r="T80" s="13"/>
      <c r="U80" s="13"/>
      <c r="V80" s="13"/>
      <c r="W80" s="13"/>
      <c r="X80" s="13"/>
      <c r="Y80" s="13"/>
      <c r="Z80" s="13"/>
      <c r="AA80" s="9"/>
    </row>
    <row r="81" spans="2:27" ht="25.7" customHeight="1">
      <c r="B81" s="7"/>
      <c r="C81" s="102" t="s">
        <v>22</v>
      </c>
      <c r="D81" s="102"/>
      <c r="E81" s="102"/>
      <c r="F81" s="102"/>
      <c r="G81" s="102"/>
      <c r="H81" s="102"/>
      <c r="I81" s="102"/>
      <c r="J81" s="102"/>
      <c r="K81" s="102"/>
      <c r="L81" s="102"/>
      <c r="M81" s="102"/>
      <c r="N81" s="9"/>
      <c r="O81" s="7"/>
      <c r="P81" s="102" t="s">
        <v>23</v>
      </c>
      <c r="Q81" s="102"/>
      <c r="R81" s="102"/>
      <c r="S81" s="102"/>
      <c r="T81" s="102"/>
      <c r="U81" s="102"/>
      <c r="V81" s="102"/>
      <c r="W81" s="102"/>
      <c r="X81" s="102"/>
      <c r="Y81" s="102"/>
      <c r="Z81" s="102"/>
      <c r="AA81" s="9"/>
    </row>
    <row r="82" spans="2:27" ht="25.7" customHeight="1">
      <c r="B82" s="7"/>
      <c r="C82" s="102"/>
      <c r="D82" s="102"/>
      <c r="E82" s="102"/>
      <c r="F82" s="102"/>
      <c r="G82" s="102"/>
      <c r="H82" s="102"/>
      <c r="I82" s="102"/>
      <c r="J82" s="102"/>
      <c r="K82" s="102"/>
      <c r="L82" s="102"/>
      <c r="M82" s="102"/>
      <c r="N82" s="9"/>
      <c r="O82" s="7"/>
      <c r="P82" s="102"/>
      <c r="Q82" s="102"/>
      <c r="R82" s="102"/>
      <c r="S82" s="102"/>
      <c r="T82" s="102"/>
      <c r="U82" s="102"/>
      <c r="V82" s="102"/>
      <c r="W82" s="102"/>
      <c r="X82" s="102"/>
      <c r="Y82" s="102"/>
      <c r="Z82" s="102"/>
      <c r="AA82" s="9"/>
    </row>
    <row r="83" spans="2:27" ht="25.7" customHeight="1">
      <c r="B83" s="7"/>
      <c r="C83" s="102"/>
      <c r="D83" s="102"/>
      <c r="E83" s="102"/>
      <c r="F83" s="102"/>
      <c r="G83" s="102"/>
      <c r="H83" s="102"/>
      <c r="I83" s="102"/>
      <c r="J83" s="102"/>
      <c r="K83" s="102"/>
      <c r="L83" s="102"/>
      <c r="M83" s="102"/>
      <c r="N83" s="9"/>
      <c r="O83" s="7"/>
      <c r="P83" s="102"/>
      <c r="Q83" s="102"/>
      <c r="R83" s="102"/>
      <c r="S83" s="102"/>
      <c r="T83" s="102"/>
      <c r="U83" s="102"/>
      <c r="V83" s="102"/>
      <c r="W83" s="102"/>
      <c r="X83" s="102"/>
      <c r="Y83" s="102"/>
      <c r="Z83" s="102"/>
      <c r="AA83" s="9"/>
    </row>
    <row r="84" spans="2:27" ht="25.7" customHeight="1">
      <c r="B84" s="7"/>
      <c r="C84" s="102"/>
      <c r="D84" s="102"/>
      <c r="E84" s="102"/>
      <c r="F84" s="102"/>
      <c r="G84" s="102"/>
      <c r="H84" s="102"/>
      <c r="I84" s="102"/>
      <c r="J84" s="102"/>
      <c r="K84" s="102"/>
      <c r="L84" s="102"/>
      <c r="M84" s="102"/>
      <c r="N84" s="9"/>
      <c r="O84" s="7"/>
      <c r="P84" s="102"/>
      <c r="Q84" s="102"/>
      <c r="R84" s="102"/>
      <c r="S84" s="102"/>
      <c r="T84" s="102"/>
      <c r="U84" s="102"/>
      <c r="V84" s="102"/>
      <c r="W84" s="102"/>
      <c r="X84" s="102"/>
      <c r="Y84" s="102"/>
      <c r="Z84" s="102"/>
      <c r="AA84" s="9"/>
    </row>
    <row r="85" spans="2:27" ht="25.7" customHeight="1">
      <c r="B85" s="10"/>
      <c r="C85" s="11"/>
      <c r="D85" s="11"/>
      <c r="E85" s="11"/>
      <c r="F85" s="11"/>
      <c r="G85" s="11"/>
      <c r="H85" s="11"/>
      <c r="I85" s="11"/>
      <c r="J85" s="11"/>
      <c r="K85" s="11"/>
      <c r="L85" s="11"/>
      <c r="M85" s="11"/>
      <c r="N85" s="12"/>
      <c r="O85" s="10"/>
      <c r="P85" s="11"/>
      <c r="Q85" s="11"/>
      <c r="R85" s="11"/>
      <c r="S85" s="11"/>
      <c r="T85" s="11"/>
      <c r="U85" s="11"/>
      <c r="V85" s="11"/>
      <c r="W85" s="11"/>
      <c r="X85" s="11"/>
      <c r="Y85" s="11"/>
      <c r="Z85" s="11"/>
      <c r="AA85" s="12"/>
    </row>
    <row r="86" spans="2:27" ht="25.7" customHeight="1">
      <c r="B86" s="4"/>
      <c r="C86" s="5"/>
      <c r="D86" s="5"/>
      <c r="E86" s="5"/>
      <c r="F86" s="5"/>
      <c r="G86" s="5"/>
      <c r="H86" s="5"/>
      <c r="I86" s="5"/>
      <c r="J86" s="5"/>
      <c r="K86" s="5"/>
      <c r="L86" s="5"/>
      <c r="M86" s="5"/>
      <c r="N86" s="6"/>
      <c r="O86" s="4"/>
      <c r="P86" s="5"/>
      <c r="Q86" s="5"/>
      <c r="R86" s="5"/>
      <c r="S86" s="5"/>
      <c r="T86" s="5"/>
      <c r="U86" s="5"/>
      <c r="V86" s="5"/>
      <c r="W86" s="5"/>
      <c r="X86" s="5"/>
      <c r="Y86" s="5"/>
      <c r="Z86" s="5"/>
      <c r="AA86" s="6"/>
    </row>
    <row r="87" spans="2:27" ht="25.7" customHeight="1">
      <c r="B87" s="7"/>
      <c r="C87" s="104" t="s">
        <v>24</v>
      </c>
      <c r="D87" s="104"/>
      <c r="E87" s="104"/>
      <c r="F87" s="104"/>
      <c r="G87" s="104"/>
      <c r="H87" s="104"/>
      <c r="I87" s="104"/>
      <c r="J87" s="104"/>
      <c r="K87" s="104"/>
      <c r="L87" s="104"/>
      <c r="M87" s="104"/>
      <c r="N87" s="9"/>
      <c r="O87" s="7"/>
      <c r="P87" s="104" t="s">
        <v>25</v>
      </c>
      <c r="Q87" s="104"/>
      <c r="R87" s="104"/>
      <c r="S87" s="104"/>
      <c r="T87" s="104"/>
      <c r="U87" s="104"/>
      <c r="V87" s="104"/>
      <c r="W87" s="104"/>
      <c r="X87" s="104"/>
      <c r="Y87" s="104"/>
      <c r="Z87" s="104"/>
      <c r="AA87" s="9"/>
    </row>
    <row r="88" spans="2:27" ht="25.7" customHeight="1">
      <c r="B88" s="7"/>
      <c r="C88" s="104"/>
      <c r="D88" s="104"/>
      <c r="E88" s="104"/>
      <c r="F88" s="104"/>
      <c r="G88" s="104"/>
      <c r="H88" s="104"/>
      <c r="I88" s="104"/>
      <c r="J88" s="104"/>
      <c r="K88" s="104"/>
      <c r="L88" s="104"/>
      <c r="M88" s="104"/>
      <c r="N88" s="9"/>
      <c r="O88" s="7"/>
      <c r="P88" s="104"/>
      <c r="Q88" s="104"/>
      <c r="R88" s="104"/>
      <c r="S88" s="104"/>
      <c r="T88" s="104"/>
      <c r="U88" s="104"/>
      <c r="V88" s="104"/>
      <c r="W88" s="104"/>
      <c r="X88" s="104"/>
      <c r="Y88" s="104"/>
      <c r="Z88" s="104"/>
      <c r="AA88" s="9"/>
    </row>
    <row r="89" spans="2:27" ht="25.7" customHeight="1">
      <c r="B89" s="7"/>
      <c r="C89" s="104"/>
      <c r="D89" s="104"/>
      <c r="E89" s="104"/>
      <c r="F89" s="104"/>
      <c r="G89" s="104"/>
      <c r="H89" s="104"/>
      <c r="I89" s="104"/>
      <c r="J89" s="104"/>
      <c r="K89" s="104"/>
      <c r="L89" s="104"/>
      <c r="M89" s="104"/>
      <c r="N89" s="9"/>
      <c r="O89" s="7"/>
      <c r="P89" s="104"/>
      <c r="Q89" s="104"/>
      <c r="R89" s="104"/>
      <c r="S89" s="104"/>
      <c r="T89" s="104"/>
      <c r="U89" s="104"/>
      <c r="V89" s="104"/>
      <c r="W89" s="104"/>
      <c r="X89" s="104"/>
      <c r="Y89" s="104"/>
      <c r="Z89" s="104"/>
      <c r="AA89" s="9"/>
    </row>
    <row r="90" spans="2:27" ht="25.7" customHeight="1">
      <c r="B90" s="7"/>
      <c r="C90" s="96" t="s">
        <v>26</v>
      </c>
      <c r="D90" s="96"/>
      <c r="E90" s="96"/>
      <c r="F90" s="77"/>
      <c r="G90" s="77"/>
      <c r="H90" s="77"/>
      <c r="I90" s="77"/>
      <c r="J90" s="77"/>
      <c r="K90" s="77"/>
      <c r="L90" s="77"/>
      <c r="M90" s="77"/>
      <c r="N90" s="9"/>
      <c r="O90" s="7"/>
      <c r="P90" s="96" t="s">
        <v>16</v>
      </c>
      <c r="Q90" s="96"/>
      <c r="R90" s="96"/>
      <c r="S90" s="77"/>
      <c r="T90" s="77"/>
      <c r="U90" s="77"/>
      <c r="V90" s="77"/>
      <c r="W90" s="77"/>
      <c r="X90" s="77"/>
      <c r="Y90" s="77"/>
      <c r="Z90" s="77"/>
      <c r="AA90" s="9"/>
    </row>
    <row r="91" spans="2:27" ht="25.7" customHeight="1">
      <c r="B91" s="7"/>
      <c r="C91" s="96"/>
      <c r="D91" s="96"/>
      <c r="E91" s="96"/>
      <c r="F91" s="77"/>
      <c r="G91" s="77"/>
      <c r="H91" s="77"/>
      <c r="I91" s="77"/>
      <c r="J91" s="77"/>
      <c r="K91" s="77"/>
      <c r="L91" s="77"/>
      <c r="M91" s="77"/>
      <c r="N91" s="9"/>
      <c r="O91" s="7"/>
      <c r="P91" s="96"/>
      <c r="Q91" s="96"/>
      <c r="R91" s="96"/>
      <c r="S91" s="77"/>
      <c r="T91" s="77"/>
      <c r="U91" s="77"/>
      <c r="V91" s="77"/>
      <c r="W91" s="77"/>
      <c r="X91" s="77"/>
      <c r="Y91" s="77"/>
      <c r="Z91" s="77"/>
      <c r="AA91" s="9"/>
    </row>
    <row r="92" spans="2:27" ht="25.7" customHeight="1">
      <c r="B92" s="7"/>
      <c r="C92" s="96"/>
      <c r="D92" s="96"/>
      <c r="E92" s="96"/>
      <c r="F92" s="77"/>
      <c r="G92" s="77"/>
      <c r="H92" s="77"/>
      <c r="I92" s="77"/>
      <c r="J92" s="77"/>
      <c r="K92" s="77"/>
      <c r="L92" s="77"/>
      <c r="M92" s="77"/>
      <c r="N92" s="9"/>
      <c r="O92" s="7"/>
      <c r="P92" s="96"/>
      <c r="Q92" s="96"/>
      <c r="R92" s="96"/>
      <c r="S92" s="77"/>
      <c r="T92" s="77"/>
      <c r="U92" s="77"/>
      <c r="V92" s="77"/>
      <c r="W92" s="77"/>
      <c r="X92" s="77"/>
      <c r="Y92" s="77"/>
      <c r="Z92" s="77"/>
      <c r="AA92" s="9"/>
    </row>
    <row r="93" spans="2:27" ht="25.7" customHeight="1">
      <c r="B93" s="17"/>
      <c r="C93" s="78" t="s">
        <v>9</v>
      </c>
      <c r="D93" s="13"/>
      <c r="E93" s="13"/>
      <c r="F93" s="13"/>
      <c r="G93" s="13"/>
      <c r="H93" s="13"/>
      <c r="I93" s="13"/>
      <c r="J93" s="13"/>
      <c r="K93" s="13"/>
      <c r="L93" s="13"/>
      <c r="M93" s="13"/>
      <c r="N93" s="9"/>
      <c r="O93" s="17"/>
      <c r="P93" s="78" t="s">
        <v>9</v>
      </c>
      <c r="Q93" s="13"/>
      <c r="R93" s="13"/>
      <c r="S93" s="13"/>
      <c r="T93" s="13"/>
      <c r="U93" s="13"/>
      <c r="V93" s="13"/>
      <c r="W93" s="13"/>
      <c r="X93" s="13"/>
      <c r="Y93" s="13"/>
      <c r="Z93" s="13"/>
      <c r="AA93" s="9"/>
    </row>
    <row r="94" spans="2:27" ht="35.1" customHeight="1">
      <c r="B94" s="7"/>
      <c r="C94" s="102" t="s">
        <v>27</v>
      </c>
      <c r="D94" s="102"/>
      <c r="E94" s="102"/>
      <c r="F94" s="102"/>
      <c r="G94" s="102"/>
      <c r="H94" s="102"/>
      <c r="I94" s="102"/>
      <c r="J94" s="102"/>
      <c r="K94" s="102"/>
      <c r="L94" s="102"/>
      <c r="M94" s="102"/>
      <c r="N94" s="9"/>
      <c r="O94" s="7"/>
      <c r="P94" s="102" t="s">
        <v>18</v>
      </c>
      <c r="Q94" s="102"/>
      <c r="R94" s="102"/>
      <c r="S94" s="102"/>
      <c r="T94" s="102"/>
      <c r="U94" s="102"/>
      <c r="V94" s="102"/>
      <c r="W94" s="102"/>
      <c r="X94" s="102"/>
      <c r="Y94" s="102"/>
      <c r="Z94" s="102"/>
      <c r="AA94" s="9"/>
    </row>
    <row r="95" spans="2:27" ht="25.7" customHeight="1">
      <c r="B95" s="7"/>
      <c r="C95" s="102"/>
      <c r="D95" s="102"/>
      <c r="E95" s="102"/>
      <c r="F95" s="102"/>
      <c r="G95" s="102"/>
      <c r="H95" s="102"/>
      <c r="I95" s="102"/>
      <c r="J95" s="102"/>
      <c r="K95" s="102"/>
      <c r="L95" s="102"/>
      <c r="M95" s="102"/>
      <c r="N95" s="77"/>
      <c r="O95" s="7"/>
      <c r="P95" s="96" t="s">
        <v>16</v>
      </c>
      <c r="Q95" s="96"/>
      <c r="R95" s="96"/>
      <c r="S95" s="77"/>
      <c r="T95" s="77"/>
      <c r="U95" s="77"/>
      <c r="V95" s="77"/>
      <c r="W95" s="77"/>
      <c r="X95" s="77"/>
      <c r="Y95" s="77"/>
      <c r="Z95" s="77"/>
      <c r="AA95" s="94"/>
    </row>
    <row r="96" spans="2:27" ht="25.7" customHeight="1">
      <c r="B96" s="7"/>
      <c r="C96" s="102"/>
      <c r="D96" s="102"/>
      <c r="E96" s="102"/>
      <c r="F96" s="102"/>
      <c r="G96" s="102"/>
      <c r="H96" s="102"/>
      <c r="I96" s="102"/>
      <c r="J96" s="102"/>
      <c r="K96" s="102"/>
      <c r="L96" s="102"/>
      <c r="M96" s="102"/>
      <c r="N96" s="77"/>
      <c r="O96" s="7"/>
      <c r="P96" s="96"/>
      <c r="Q96" s="96"/>
      <c r="R96" s="96"/>
      <c r="S96" s="77"/>
      <c r="T96" s="77"/>
      <c r="U96" s="77"/>
      <c r="V96" s="77"/>
      <c r="W96" s="77"/>
      <c r="X96" s="77"/>
      <c r="Y96" s="77"/>
      <c r="Z96" s="77"/>
      <c r="AA96" s="94"/>
    </row>
    <row r="97" spans="2:27" ht="25.7" customHeight="1">
      <c r="B97" s="7"/>
      <c r="C97" s="102"/>
      <c r="D97" s="102"/>
      <c r="E97" s="102"/>
      <c r="F97" s="102"/>
      <c r="G97" s="102"/>
      <c r="H97" s="102"/>
      <c r="I97" s="102"/>
      <c r="J97" s="102"/>
      <c r="K97" s="102"/>
      <c r="L97" s="102"/>
      <c r="M97" s="102"/>
      <c r="N97" s="77"/>
      <c r="O97" s="7"/>
      <c r="P97" s="96"/>
      <c r="Q97" s="96"/>
      <c r="R97" s="96"/>
      <c r="S97" s="77"/>
      <c r="T97" s="77"/>
      <c r="U97" s="77"/>
      <c r="V97" s="77"/>
      <c r="W97" s="77"/>
      <c r="X97" s="77"/>
      <c r="Y97" s="77"/>
      <c r="Z97" s="77"/>
      <c r="AA97" s="94"/>
    </row>
    <row r="98" spans="2:27" ht="25.7" customHeight="1">
      <c r="B98" s="7"/>
      <c r="C98" s="102"/>
      <c r="D98" s="102"/>
      <c r="E98" s="102"/>
      <c r="F98" s="102"/>
      <c r="G98" s="102"/>
      <c r="H98" s="102"/>
      <c r="I98" s="102"/>
      <c r="J98" s="102"/>
      <c r="K98" s="102"/>
      <c r="L98" s="102"/>
      <c r="M98" s="102"/>
      <c r="N98" s="9"/>
      <c r="O98" s="7"/>
      <c r="P98" s="44" t="s">
        <v>9</v>
      </c>
      <c r="Q98" s="13"/>
      <c r="R98" s="13"/>
      <c r="S98" s="13"/>
      <c r="T98" s="13"/>
      <c r="U98" s="13"/>
      <c r="V98" s="13"/>
      <c r="W98" s="13"/>
      <c r="X98" s="13"/>
      <c r="Y98" s="13"/>
      <c r="Z98" s="13"/>
      <c r="AA98" s="9"/>
    </row>
    <row r="99" spans="2:27" ht="25.7" customHeight="1">
      <c r="B99" s="7"/>
      <c r="C99" s="102"/>
      <c r="D99" s="102"/>
      <c r="E99" s="102"/>
      <c r="F99" s="102"/>
      <c r="G99" s="102"/>
      <c r="H99" s="102"/>
      <c r="I99" s="102"/>
      <c r="J99" s="102"/>
      <c r="K99" s="102"/>
      <c r="L99" s="102"/>
      <c r="M99" s="102"/>
      <c r="N99" s="9"/>
      <c r="O99" s="7"/>
      <c r="P99" s="102" t="s">
        <v>28</v>
      </c>
      <c r="Q99" s="103"/>
      <c r="R99" s="103"/>
      <c r="S99" s="103"/>
      <c r="T99" s="103"/>
      <c r="U99" s="103"/>
      <c r="V99" s="103"/>
      <c r="W99" s="103"/>
      <c r="X99" s="103"/>
      <c r="Y99" s="103"/>
      <c r="Z99" s="103"/>
      <c r="AA99" s="9"/>
    </row>
    <row r="100" spans="2:27" ht="25.7" customHeight="1">
      <c r="B100" s="7"/>
      <c r="C100" s="102"/>
      <c r="D100" s="102"/>
      <c r="E100" s="102"/>
      <c r="F100" s="102"/>
      <c r="G100" s="102"/>
      <c r="H100" s="102"/>
      <c r="I100" s="102"/>
      <c r="J100" s="102"/>
      <c r="K100" s="102"/>
      <c r="L100" s="102"/>
      <c r="M100" s="102"/>
      <c r="N100" s="9"/>
      <c r="O100" s="7"/>
      <c r="P100" s="103"/>
      <c r="Q100" s="103"/>
      <c r="R100" s="103"/>
      <c r="S100" s="103"/>
      <c r="T100" s="103"/>
      <c r="U100" s="103"/>
      <c r="V100" s="103"/>
      <c r="W100" s="103"/>
      <c r="X100" s="103"/>
      <c r="Y100" s="103"/>
      <c r="Z100" s="103"/>
      <c r="AA100" s="9"/>
    </row>
    <row r="101" spans="2:27" ht="25.7" customHeight="1">
      <c r="B101" s="7"/>
      <c r="C101" s="102"/>
      <c r="D101" s="102"/>
      <c r="E101" s="102"/>
      <c r="F101" s="102"/>
      <c r="G101" s="102"/>
      <c r="H101" s="102"/>
      <c r="I101" s="102"/>
      <c r="J101" s="102"/>
      <c r="K101" s="102"/>
      <c r="L101" s="102"/>
      <c r="M101" s="102"/>
      <c r="N101" s="9"/>
      <c r="O101" s="7"/>
      <c r="P101" s="103"/>
      <c r="Q101" s="103"/>
      <c r="R101" s="103"/>
      <c r="S101" s="103"/>
      <c r="T101" s="103"/>
      <c r="U101" s="103"/>
      <c r="V101" s="103"/>
      <c r="W101" s="103"/>
      <c r="X101" s="103"/>
      <c r="Y101" s="103"/>
      <c r="Z101" s="103"/>
      <c r="AA101" s="9"/>
    </row>
    <row r="102" spans="2:27" ht="25.7" customHeight="1">
      <c r="B102" s="10"/>
      <c r="C102" s="11"/>
      <c r="D102" s="11"/>
      <c r="E102" s="11"/>
      <c r="F102" s="11"/>
      <c r="G102" s="11"/>
      <c r="H102" s="11"/>
      <c r="I102" s="11"/>
      <c r="J102" s="11"/>
      <c r="K102" s="11"/>
      <c r="L102" s="11"/>
      <c r="M102" s="11"/>
      <c r="N102" s="12"/>
      <c r="O102" s="10"/>
      <c r="P102" s="11"/>
      <c r="Q102" s="11"/>
      <c r="R102" s="11"/>
      <c r="S102" s="11"/>
      <c r="T102" s="11"/>
      <c r="U102" s="11"/>
      <c r="V102" s="11"/>
      <c r="W102" s="11"/>
      <c r="X102" s="11"/>
      <c r="Y102" s="11"/>
      <c r="Z102" s="11"/>
      <c r="AA102" s="12"/>
    </row>
    <row r="103" spans="2:27" ht="25.7" customHeight="1"/>
    <row r="104" spans="2:27" ht="25.7" customHeight="1"/>
    <row r="105" spans="2:27" ht="25.7" customHeight="1"/>
    <row r="106" spans="2:27" ht="25.7" customHeight="1"/>
    <row r="107" spans="2:27" ht="25.7" customHeight="1"/>
    <row r="108" spans="2:27" ht="25.7" customHeight="1"/>
    <row r="109" spans="2:27" ht="25.7" customHeight="1"/>
    <row r="110" spans="2:27" ht="25.7" customHeight="1"/>
    <row r="111" spans="2:27" ht="25.7" customHeight="1"/>
    <row r="112" spans="2:27" ht="25.7" customHeight="1"/>
    <row r="113" ht="25.7" customHeight="1"/>
    <row r="114" ht="25.7" customHeight="1"/>
    <row r="115" ht="25.7" customHeight="1"/>
    <row r="116" ht="25.7" customHeight="1"/>
    <row r="117" ht="25.7" customHeight="1"/>
    <row r="118" ht="25.7" customHeight="1"/>
    <row r="119" ht="25.7" customHeight="1"/>
    <row r="120" ht="25.7" customHeight="1"/>
    <row r="121" ht="25.7" customHeight="1"/>
    <row r="122" ht="25.7" customHeight="1"/>
    <row r="123" ht="25.7" customHeight="1"/>
    <row r="124" ht="25.7" customHeight="1"/>
    <row r="125" ht="25.7" customHeight="1"/>
    <row r="126" ht="25.7" customHeight="1"/>
    <row r="127" ht="25.7" customHeight="1"/>
    <row r="128" ht="25.7" customHeight="1"/>
    <row r="129" ht="25.7" customHeight="1"/>
    <row r="130" ht="25.7" customHeight="1"/>
    <row r="131" ht="25.7" customHeight="1"/>
    <row r="132" ht="25.7" customHeight="1"/>
    <row r="133" ht="25.7" customHeight="1"/>
    <row r="134" ht="25.7" customHeight="1"/>
    <row r="135" ht="25.7" customHeight="1"/>
    <row r="136" ht="25.7" customHeight="1"/>
    <row r="137" ht="25.7" customHeight="1"/>
    <row r="138" ht="25.7" customHeight="1"/>
    <row r="139" ht="25.7" customHeight="1"/>
    <row r="140" ht="25.7" customHeight="1"/>
    <row r="141" ht="25.7" customHeight="1"/>
    <row r="142" ht="25.7" customHeight="1"/>
    <row r="143" ht="25.7" customHeight="1"/>
    <row r="144" ht="25.7" customHeight="1"/>
    <row r="145" ht="25.7" customHeight="1"/>
    <row r="146" ht="25.7" customHeight="1"/>
    <row r="147" ht="25.7" customHeight="1"/>
    <row r="148" ht="25.7" customHeight="1"/>
    <row r="149" ht="25.7" customHeight="1"/>
    <row r="150" ht="25.7" customHeight="1"/>
    <row r="151" ht="25.7" customHeight="1"/>
    <row r="152" ht="25.7" customHeight="1"/>
    <row r="153" ht="25.7" customHeight="1"/>
    <row r="154" ht="25.7" customHeight="1"/>
  </sheetData>
  <mergeCells count="46">
    <mergeCell ref="P40:Z40"/>
    <mergeCell ref="P14:R16"/>
    <mergeCell ref="P22:Z22"/>
    <mergeCell ref="C32:E34"/>
    <mergeCell ref="C14:E16"/>
    <mergeCell ref="C17:E19"/>
    <mergeCell ref="P17:X19"/>
    <mergeCell ref="W20:Y20"/>
    <mergeCell ref="D38:F38"/>
    <mergeCell ref="G38:I38"/>
    <mergeCell ref="J38:L38"/>
    <mergeCell ref="Q38:S38"/>
    <mergeCell ref="T38:V38"/>
    <mergeCell ref="C44:M46"/>
    <mergeCell ref="P44:Z46"/>
    <mergeCell ref="C72:E74"/>
    <mergeCell ref="W38:Y38"/>
    <mergeCell ref="D20:F20"/>
    <mergeCell ref="G20:I20"/>
    <mergeCell ref="J20:L20"/>
    <mergeCell ref="Q20:S20"/>
    <mergeCell ref="T20:V20"/>
    <mergeCell ref="C22:M22"/>
    <mergeCell ref="C35:E37"/>
    <mergeCell ref="C26:M28"/>
    <mergeCell ref="P26:Z28"/>
    <mergeCell ref="C40:M40"/>
    <mergeCell ref="P32:R34"/>
    <mergeCell ref="P35:R37"/>
    <mergeCell ref="P77:Z79"/>
    <mergeCell ref="C87:M89"/>
    <mergeCell ref="C90:E92"/>
    <mergeCell ref="P90:R92"/>
    <mergeCell ref="P87:Z89"/>
    <mergeCell ref="C77:M79"/>
    <mergeCell ref="C69:M71"/>
    <mergeCell ref="C76:M76"/>
    <mergeCell ref="P69:Z71"/>
    <mergeCell ref="P72:R74"/>
    <mergeCell ref="P76:Z76"/>
    <mergeCell ref="P94:Z94"/>
    <mergeCell ref="P95:R97"/>
    <mergeCell ref="C81:M84"/>
    <mergeCell ref="P81:Z84"/>
    <mergeCell ref="C94:M101"/>
    <mergeCell ref="P99:Z101"/>
  </mergeCells>
  <conditionalFormatting sqref="C22">
    <cfRule type="expression" dxfId="147" priority="53">
      <formula>0.15&lt;=B20</formula>
    </cfRule>
    <cfRule type="expression" dxfId="146" priority="54">
      <formula>AND(0.1&lt;=B20,B20&lt;0.15)</formula>
    </cfRule>
    <cfRule type="expression" dxfId="145" priority="55">
      <formula>AND(0.05&lt;=B20,B20&lt;0.1)</formula>
    </cfRule>
    <cfRule type="expression" dxfId="144" priority="56">
      <formula>B20&lt;0.05</formula>
    </cfRule>
  </conditionalFormatting>
  <conditionalFormatting sqref="C40">
    <cfRule type="expression" dxfId="143" priority="49">
      <formula>2&lt;=B38</formula>
    </cfRule>
    <cfRule type="expression" dxfId="142" priority="50">
      <formula>1&lt;=B38&lt;2</formula>
    </cfRule>
    <cfRule type="expression" dxfId="141" priority="51">
      <formula>0.5&lt;=B38&lt;1</formula>
    </cfRule>
    <cfRule type="expression" dxfId="140" priority="52">
      <formula>B38&lt;0.5</formula>
    </cfRule>
  </conditionalFormatting>
  <conditionalFormatting sqref="P22">
    <cfRule type="expression" dxfId="139" priority="25">
      <formula>0.15&lt;=O20</formula>
    </cfRule>
    <cfRule type="expression" dxfId="138" priority="26">
      <formula>AND(0.1&lt;=O20,O20&lt;0.15)</formula>
    </cfRule>
    <cfRule type="expression" dxfId="137" priority="27">
      <formula>AND(0.05&lt;=O20,O20&lt;0.1)</formula>
    </cfRule>
    <cfRule type="expression" dxfId="136" priority="28">
      <formula>O20&lt;0.05</formula>
    </cfRule>
  </conditionalFormatting>
  <conditionalFormatting sqref="P40">
    <cfRule type="expression" dxfId="135" priority="45">
      <formula>0.15&lt;=O38</formula>
    </cfRule>
    <cfRule type="expression" dxfId="134" priority="46">
      <formula>0.1&lt;=O38&lt;0.15</formula>
    </cfRule>
    <cfRule type="expression" dxfId="133" priority="47">
      <formula>0.05&lt;=O38&lt;0.1</formula>
    </cfRule>
    <cfRule type="expression" dxfId="132" priority="48">
      <formula>O38&lt;0.05</formula>
    </cfRule>
  </conditionalFormatting>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9DD2-FB8B-45FE-A13C-A79DD060C7E3}">
  <dimension ref="A1:AB70"/>
  <sheetViews>
    <sheetView topLeftCell="A26" zoomScale="56" zoomScaleNormal="66" workbookViewId="0"/>
  </sheetViews>
  <sheetFormatPr defaultColWidth="0" defaultRowHeight="14.45" customHeight="1"/>
  <cols>
    <col min="1"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5"/>
    <row r="12" spans="2:27" ht="21.6"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21.6" customHeight="1">
      <c r="B15" s="7"/>
      <c r="C15" s="96" t="s">
        <v>29</v>
      </c>
      <c r="D15" s="96"/>
      <c r="E15" s="96"/>
      <c r="F15" s="96"/>
      <c r="G15" s="96"/>
      <c r="H15" s="96"/>
      <c r="I15" s="96"/>
      <c r="J15" s="96"/>
      <c r="K15" s="96"/>
      <c r="L15" s="96"/>
      <c r="M15" s="96"/>
      <c r="N15" s="9"/>
      <c r="O15" s="7"/>
      <c r="P15" s="96" t="s">
        <v>30</v>
      </c>
      <c r="Q15" s="96"/>
      <c r="R15" s="96"/>
      <c r="S15" s="96"/>
      <c r="T15" s="96"/>
      <c r="U15" s="96"/>
      <c r="V15" s="96"/>
      <c r="W15" s="96"/>
      <c r="X15" s="96"/>
      <c r="Y15" s="96"/>
      <c r="Z15" s="96"/>
      <c r="AA15" s="9"/>
    </row>
    <row r="16" spans="2:27" ht="21.6" customHeight="1">
      <c r="B16" s="7"/>
      <c r="C16" s="96"/>
      <c r="D16" s="96"/>
      <c r="E16" s="96"/>
      <c r="F16" s="96"/>
      <c r="G16" s="96"/>
      <c r="H16" s="96"/>
      <c r="I16" s="96"/>
      <c r="J16" s="96"/>
      <c r="K16" s="96"/>
      <c r="L16" s="96"/>
      <c r="M16" s="96"/>
      <c r="N16" s="9"/>
      <c r="O16" s="7"/>
      <c r="P16" s="96"/>
      <c r="Q16" s="96"/>
      <c r="R16" s="96"/>
      <c r="S16" s="96"/>
      <c r="T16" s="96"/>
      <c r="U16" s="96"/>
      <c r="V16" s="96"/>
      <c r="W16" s="96"/>
      <c r="X16" s="96"/>
      <c r="Y16" s="96"/>
      <c r="Z16" s="96"/>
      <c r="AA16" s="9"/>
    </row>
    <row r="17" spans="2:27" ht="21.6" customHeight="1">
      <c r="B17" s="7"/>
      <c r="C17" s="96"/>
      <c r="D17" s="96"/>
      <c r="E17" s="96"/>
      <c r="F17" s="96"/>
      <c r="G17" s="96"/>
      <c r="H17" s="96"/>
      <c r="I17" s="96"/>
      <c r="J17" s="96"/>
      <c r="K17" s="96"/>
      <c r="L17" s="96"/>
      <c r="M17" s="96"/>
      <c r="N17" s="9"/>
      <c r="O17" s="7"/>
      <c r="P17" s="96"/>
      <c r="Q17" s="96"/>
      <c r="R17" s="96"/>
      <c r="S17" s="96"/>
      <c r="T17" s="96"/>
      <c r="U17" s="96"/>
      <c r="V17" s="96"/>
      <c r="W17" s="96"/>
      <c r="X17" s="96"/>
      <c r="Y17" s="96"/>
      <c r="Z17" s="96"/>
      <c r="AA17" s="9"/>
    </row>
    <row r="18" spans="2:27" ht="21.6" customHeight="1">
      <c r="B18" s="7"/>
      <c r="C18" s="97">
        <f>'Financial Statements'!I7</f>
        <v>0.23199445983379502</v>
      </c>
      <c r="D18" s="97"/>
      <c r="E18" s="97"/>
      <c r="F18" s="97"/>
      <c r="G18" s="97"/>
      <c r="H18" s="97"/>
      <c r="I18" s="97"/>
      <c r="J18" s="97"/>
      <c r="K18" s="97"/>
      <c r="L18" s="97"/>
      <c r="M18" s="97"/>
      <c r="N18" s="9"/>
      <c r="O18" s="7"/>
      <c r="P18" s="97">
        <f>'Financial Statements'!I8</f>
        <v>5.4008302768933134E-2</v>
      </c>
      <c r="Q18" s="97"/>
      <c r="R18" s="97"/>
      <c r="S18" s="97"/>
      <c r="T18" s="97"/>
      <c r="U18" s="97"/>
      <c r="V18" s="97"/>
      <c r="W18" s="97"/>
      <c r="X18" s="97"/>
      <c r="Y18" s="97"/>
      <c r="Z18" s="97"/>
      <c r="AA18" s="9"/>
    </row>
    <row r="19" spans="2:27" ht="21.6" customHeight="1">
      <c r="B19" s="7"/>
      <c r="C19" s="97"/>
      <c r="D19" s="97"/>
      <c r="E19" s="97"/>
      <c r="F19" s="97"/>
      <c r="G19" s="97"/>
      <c r="H19" s="97"/>
      <c r="I19" s="97"/>
      <c r="J19" s="97"/>
      <c r="K19" s="97"/>
      <c r="L19" s="97"/>
      <c r="M19" s="97"/>
      <c r="N19" s="9"/>
      <c r="O19" s="7"/>
      <c r="P19" s="97"/>
      <c r="Q19" s="97"/>
      <c r="R19" s="97"/>
      <c r="S19" s="97"/>
      <c r="T19" s="97"/>
      <c r="U19" s="97"/>
      <c r="V19" s="97"/>
      <c r="W19" s="97"/>
      <c r="X19" s="97"/>
      <c r="Y19" s="97"/>
      <c r="Z19" s="97"/>
      <c r="AA19" s="9"/>
    </row>
    <row r="20" spans="2:27" ht="21.6" customHeight="1">
      <c r="B20" s="7"/>
      <c r="C20" s="97"/>
      <c r="D20" s="97"/>
      <c r="E20" s="97"/>
      <c r="F20" s="97"/>
      <c r="G20" s="97"/>
      <c r="H20" s="97"/>
      <c r="I20" s="97"/>
      <c r="J20" s="97"/>
      <c r="K20" s="97"/>
      <c r="L20" s="97"/>
      <c r="M20" s="97"/>
      <c r="N20" s="9"/>
      <c r="O20" s="7"/>
      <c r="P20" s="97"/>
      <c r="Q20" s="97"/>
      <c r="R20" s="97"/>
      <c r="S20" s="97"/>
      <c r="T20" s="97"/>
      <c r="U20" s="97"/>
      <c r="V20" s="97"/>
      <c r="W20" s="97"/>
      <c r="X20" s="97"/>
      <c r="Y20" s="97"/>
      <c r="Z20" s="97"/>
      <c r="AA20" s="9"/>
    </row>
    <row r="21" spans="2:27" ht="21.6" customHeight="1">
      <c r="B21" s="17">
        <v>0.14000000000000001</v>
      </c>
      <c r="C21" s="15" t="str">
        <f>IF(B21&gt;0,"+"&amp;B21,B21)&amp;"% vs 2021"</f>
        <v>+0,14% vs 2021</v>
      </c>
      <c r="D21" s="16"/>
      <c r="E21" s="16"/>
      <c r="F21" s="16"/>
      <c r="G21" s="16"/>
      <c r="H21" s="16"/>
      <c r="I21" s="16"/>
      <c r="J21" s="16"/>
      <c r="K21" s="16"/>
      <c r="L21" s="16"/>
      <c r="M21" s="16"/>
      <c r="N21" s="9"/>
      <c r="O21" s="17">
        <v>-0.14000000000000001</v>
      </c>
      <c r="P21" s="15" t="str">
        <f>IF(O21&gt;0,"+"&amp;O21,O21)&amp;"% vs 2021"</f>
        <v>-0,14% vs 2021</v>
      </c>
      <c r="Q21" s="16"/>
      <c r="R21" s="16"/>
      <c r="S21" s="16"/>
      <c r="T21" s="16"/>
      <c r="U21" s="16"/>
      <c r="V21" s="16"/>
      <c r="W21" s="16"/>
      <c r="X21" s="16"/>
      <c r="Y21" s="16"/>
      <c r="Z21" s="16"/>
      <c r="AA21" s="9"/>
    </row>
    <row r="22" spans="2:27" ht="21.6" customHeight="1">
      <c r="B22" s="17">
        <v>1E-3</v>
      </c>
      <c r="C22" s="14"/>
      <c r="D22" s="14"/>
      <c r="E22" s="14"/>
      <c r="F22" s="14"/>
      <c r="G22" s="8"/>
      <c r="H22" s="8"/>
      <c r="I22" s="8"/>
      <c r="J22" s="8"/>
      <c r="K22" s="8"/>
      <c r="L22" s="8"/>
      <c r="M22" s="8"/>
      <c r="N22" s="9"/>
      <c r="O22" s="17">
        <v>1E-3</v>
      </c>
      <c r="P22" s="14"/>
      <c r="Q22" s="14"/>
      <c r="R22" s="14"/>
      <c r="S22" s="14"/>
      <c r="T22" s="8"/>
      <c r="U22" s="8"/>
      <c r="V22" s="8"/>
      <c r="W22" s="8"/>
      <c r="X22" s="8"/>
      <c r="Y22" s="8"/>
      <c r="Z22" s="8"/>
      <c r="AA22" s="9"/>
    </row>
    <row r="23" spans="2:27" ht="21.6"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21.6"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21.6"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21.6"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21.6"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21.6"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21.6"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21.6"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21.6"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21.6"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21.6"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21.6"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21.6"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21.6"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21.6"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21.6"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21.6"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21.6" customHeight="1">
      <c r="B40" s="4"/>
      <c r="C40" s="5"/>
      <c r="D40" s="5"/>
      <c r="E40" s="5"/>
      <c r="F40" s="5"/>
      <c r="G40" s="5"/>
      <c r="H40" s="5"/>
      <c r="I40" s="5"/>
      <c r="J40" s="5"/>
      <c r="K40" s="5"/>
      <c r="L40" s="5"/>
      <c r="M40" s="5"/>
      <c r="N40" s="6"/>
      <c r="O40" s="4"/>
      <c r="P40" s="5"/>
      <c r="Q40" s="5"/>
      <c r="R40" s="5"/>
      <c r="S40" s="5"/>
      <c r="T40" s="5"/>
      <c r="U40" s="5"/>
      <c r="V40" s="5"/>
      <c r="W40" s="5"/>
      <c r="X40" s="5"/>
      <c r="Y40" s="5"/>
      <c r="Z40" s="5"/>
      <c r="AA40" s="6"/>
    </row>
    <row r="41" spans="2:27" ht="21.6" customHeight="1">
      <c r="B41" s="7"/>
      <c r="C41" s="8"/>
      <c r="D41" s="8"/>
      <c r="E41" s="8"/>
      <c r="F41" s="8"/>
      <c r="G41" s="8"/>
      <c r="H41" s="8"/>
      <c r="I41" s="8"/>
      <c r="J41" s="8"/>
      <c r="K41" s="8"/>
      <c r="L41" s="8"/>
      <c r="M41" s="8"/>
      <c r="N41" s="9"/>
      <c r="O41" s="7"/>
      <c r="P41" s="8"/>
      <c r="Q41" s="8"/>
      <c r="R41" s="8"/>
      <c r="S41" s="8"/>
      <c r="T41" s="8"/>
      <c r="U41" s="8"/>
      <c r="V41" s="8"/>
      <c r="W41" s="8"/>
      <c r="X41" s="8"/>
      <c r="Y41" s="8"/>
      <c r="Z41" s="8"/>
      <c r="AA41" s="9"/>
    </row>
    <row r="42" spans="2:27" ht="21.6" customHeight="1">
      <c r="B42" s="7"/>
      <c r="C42" s="8"/>
      <c r="D42" s="8"/>
      <c r="E42" s="8"/>
      <c r="F42" s="8"/>
      <c r="G42" s="8"/>
      <c r="H42" s="8"/>
      <c r="I42" s="8"/>
      <c r="J42" s="8"/>
      <c r="K42" s="8"/>
      <c r="L42" s="8"/>
      <c r="M42" s="8"/>
      <c r="N42" s="9"/>
      <c r="O42" s="7"/>
      <c r="P42" s="8"/>
      <c r="Q42" s="8"/>
      <c r="R42" s="8"/>
      <c r="S42" s="8"/>
      <c r="T42" s="8"/>
      <c r="U42" s="8"/>
      <c r="V42" s="8"/>
      <c r="W42" s="8"/>
      <c r="X42" s="8"/>
      <c r="Y42" s="8"/>
      <c r="Z42" s="8"/>
      <c r="AA42" s="9"/>
    </row>
    <row r="43" spans="2:27" ht="21.6" customHeight="1">
      <c r="B43" s="7"/>
      <c r="C43" s="96" t="s">
        <v>31</v>
      </c>
      <c r="D43" s="96"/>
      <c r="E43" s="96"/>
      <c r="F43" s="96"/>
      <c r="G43" s="96"/>
      <c r="H43" s="96"/>
      <c r="I43" s="96"/>
      <c r="J43" s="96"/>
      <c r="K43" s="96"/>
      <c r="L43" s="96"/>
      <c r="M43" s="96"/>
      <c r="N43" s="9"/>
      <c r="O43" s="7"/>
      <c r="P43" s="96" t="s">
        <v>32</v>
      </c>
      <c r="Q43" s="96"/>
      <c r="R43" s="96"/>
      <c r="S43" s="96"/>
      <c r="T43" s="96"/>
      <c r="U43" s="96"/>
      <c r="V43" s="96"/>
      <c r="W43" s="96"/>
      <c r="X43" s="96"/>
      <c r="Y43" s="96"/>
      <c r="Z43" s="96"/>
      <c r="AA43" s="9"/>
    </row>
    <row r="44" spans="2:27" ht="21.6" customHeight="1">
      <c r="B44" s="7"/>
      <c r="C44" s="96"/>
      <c r="D44" s="96"/>
      <c r="E44" s="96"/>
      <c r="F44" s="96"/>
      <c r="G44" s="96"/>
      <c r="H44" s="96"/>
      <c r="I44" s="96"/>
      <c r="J44" s="96"/>
      <c r="K44" s="96"/>
      <c r="L44" s="96"/>
      <c r="M44" s="96"/>
      <c r="N44" s="9"/>
      <c r="O44" s="7"/>
      <c r="P44" s="96"/>
      <c r="Q44" s="96"/>
      <c r="R44" s="96"/>
      <c r="S44" s="96"/>
      <c r="T44" s="96"/>
      <c r="U44" s="96"/>
      <c r="V44" s="96"/>
      <c r="W44" s="96"/>
      <c r="X44" s="96"/>
      <c r="Y44" s="96"/>
      <c r="Z44" s="96"/>
      <c r="AA44" s="9"/>
    </row>
    <row r="45" spans="2:27" ht="21.6" customHeight="1">
      <c r="B45" s="7"/>
      <c r="C45" s="96"/>
      <c r="D45" s="96"/>
      <c r="E45" s="96"/>
      <c r="F45" s="96"/>
      <c r="G45" s="96"/>
      <c r="H45" s="96"/>
      <c r="I45" s="96"/>
      <c r="J45" s="96"/>
      <c r="K45" s="96"/>
      <c r="L45" s="96"/>
      <c r="M45" s="96"/>
      <c r="N45" s="9"/>
      <c r="O45" s="7"/>
      <c r="P45" s="96"/>
      <c r="Q45" s="96"/>
      <c r="R45" s="96"/>
      <c r="S45" s="96"/>
      <c r="T45" s="96"/>
      <c r="U45" s="96"/>
      <c r="V45" s="96"/>
      <c r="W45" s="96"/>
      <c r="X45" s="96"/>
      <c r="Y45" s="96"/>
      <c r="Z45" s="96"/>
      <c r="AA45" s="9"/>
    </row>
    <row r="46" spans="2:27" ht="21.6" customHeight="1">
      <c r="B46" s="7"/>
      <c r="C46" s="108">
        <f>'Financial Statements'!I9</f>
        <v>1.2245089329779884</v>
      </c>
      <c r="D46" s="108"/>
      <c r="E46" s="108"/>
      <c r="F46" s="14"/>
      <c r="G46" s="8"/>
      <c r="H46" s="8"/>
      <c r="I46" s="8"/>
      <c r="J46" s="8"/>
      <c r="K46" s="8"/>
      <c r="L46" s="8"/>
      <c r="M46" s="8"/>
      <c r="N46" s="9"/>
      <c r="O46" s="7"/>
      <c r="P46" s="109">
        <f>'Financial Statements'!I10</f>
        <v>3.5079639889196677</v>
      </c>
      <c r="Q46" s="109"/>
      <c r="R46" s="109"/>
      <c r="S46" s="14"/>
      <c r="T46" s="8"/>
      <c r="U46" s="8"/>
      <c r="V46" s="8"/>
      <c r="W46" s="8"/>
      <c r="X46" s="8"/>
      <c r="Y46" s="8"/>
      <c r="Z46" s="8"/>
      <c r="AA46" s="9"/>
    </row>
    <row r="47" spans="2:27" ht="21.6" customHeight="1">
      <c r="B47" s="7"/>
      <c r="C47" s="108"/>
      <c r="D47" s="108"/>
      <c r="E47" s="108"/>
      <c r="F47" s="14"/>
      <c r="G47" s="8"/>
      <c r="H47" s="8"/>
      <c r="I47" s="8"/>
      <c r="J47" s="8"/>
      <c r="K47" s="8"/>
      <c r="L47" s="8"/>
      <c r="M47" s="8"/>
      <c r="N47" s="9"/>
      <c r="O47" s="7"/>
      <c r="P47" s="109"/>
      <c r="Q47" s="109"/>
      <c r="R47" s="109"/>
      <c r="S47" s="14"/>
      <c r="T47" s="8"/>
      <c r="U47" s="8"/>
      <c r="V47" s="8"/>
      <c r="W47" s="8"/>
      <c r="X47" s="8"/>
      <c r="Y47" s="8"/>
      <c r="Z47" s="8"/>
      <c r="AA47" s="9"/>
    </row>
    <row r="48" spans="2:27" ht="21.6" customHeight="1">
      <c r="B48" s="7"/>
      <c r="C48" s="108"/>
      <c r="D48" s="108"/>
      <c r="E48" s="108"/>
      <c r="F48" s="14"/>
      <c r="G48" s="8"/>
      <c r="H48" s="8"/>
      <c r="I48" s="8"/>
      <c r="J48" s="8"/>
      <c r="K48" s="8"/>
      <c r="L48" s="8"/>
      <c r="M48" s="8"/>
      <c r="N48" s="9"/>
      <c r="O48" s="7"/>
      <c r="P48" s="109"/>
      <c r="Q48" s="109"/>
      <c r="R48" s="109"/>
      <c r="S48" s="14"/>
      <c r="T48" s="8"/>
      <c r="U48" s="8"/>
      <c r="V48" s="8"/>
      <c r="W48" s="8"/>
      <c r="X48" s="8"/>
      <c r="Y48" s="8"/>
      <c r="Z48" s="8"/>
      <c r="AA48" s="9"/>
    </row>
    <row r="49" spans="2:27" ht="21.6" customHeight="1">
      <c r="B49" s="17">
        <v>-0.12</v>
      </c>
      <c r="C49" s="15" t="str">
        <f>IF(B49&gt;0,"+"&amp;B49,B49)&amp;"% vs 2021"</f>
        <v>-0,12% vs 2021</v>
      </c>
      <c r="D49" s="16"/>
      <c r="E49" s="16"/>
      <c r="F49" s="16"/>
      <c r="G49" s="16"/>
      <c r="H49" s="16"/>
      <c r="I49" s="16"/>
      <c r="J49" s="16"/>
      <c r="K49" s="16"/>
      <c r="L49" s="16"/>
      <c r="M49" s="16"/>
      <c r="N49" s="9"/>
      <c r="O49" s="17">
        <v>0.13</v>
      </c>
      <c r="P49" s="15" t="str">
        <f>IF(O49&gt;0,"+"&amp;O49,O49)&amp;"% vs 2021"</f>
        <v>+0,13% vs 2021</v>
      </c>
      <c r="Q49" s="16"/>
      <c r="R49" s="16"/>
      <c r="S49" s="16"/>
      <c r="T49" s="16"/>
      <c r="U49" s="16"/>
      <c r="V49" s="16"/>
      <c r="W49" s="16"/>
      <c r="X49" s="16"/>
      <c r="Y49" s="16"/>
      <c r="Z49" s="16"/>
      <c r="AA49" s="9"/>
    </row>
    <row r="50" spans="2:27" ht="21.6" customHeight="1">
      <c r="B50" s="7"/>
      <c r="C50" s="14"/>
      <c r="D50" s="14"/>
      <c r="E50" s="14"/>
      <c r="F50" s="14"/>
      <c r="G50" s="8"/>
      <c r="H50" s="8"/>
      <c r="I50" s="8"/>
      <c r="J50" s="8"/>
      <c r="K50" s="8"/>
      <c r="L50" s="8"/>
      <c r="M50" s="8"/>
      <c r="N50" s="9"/>
      <c r="O50" s="7"/>
      <c r="P50" s="14"/>
      <c r="Q50" s="14"/>
      <c r="R50" s="14"/>
      <c r="S50" s="14"/>
      <c r="T50" s="8"/>
      <c r="U50" s="8"/>
      <c r="V50" s="8"/>
      <c r="W50" s="8"/>
      <c r="X50" s="8"/>
      <c r="Y50" s="8"/>
      <c r="Z50" s="8"/>
      <c r="AA50" s="9"/>
    </row>
    <row r="51" spans="2:27" ht="21.6" customHeight="1">
      <c r="B51" s="7"/>
      <c r="C51" s="95"/>
      <c r="D51" s="95"/>
      <c r="E51" s="95"/>
      <c r="F51" s="95"/>
      <c r="G51" s="95"/>
      <c r="H51" s="95"/>
      <c r="I51" s="95"/>
      <c r="J51" s="95"/>
      <c r="K51" s="95"/>
      <c r="L51" s="95"/>
      <c r="M51" s="95"/>
      <c r="N51" s="9"/>
      <c r="O51" s="7"/>
      <c r="P51" s="95"/>
      <c r="Q51" s="95"/>
      <c r="R51" s="95"/>
      <c r="S51" s="95"/>
      <c r="T51" s="95"/>
      <c r="U51" s="95"/>
      <c r="V51" s="95"/>
      <c r="W51" s="95"/>
      <c r="X51" s="95"/>
      <c r="Y51" s="95"/>
      <c r="Z51" s="95"/>
      <c r="AA51" s="9"/>
    </row>
    <row r="52" spans="2:27" ht="21.6" customHeight="1">
      <c r="B52" s="7"/>
      <c r="C52" s="8"/>
      <c r="D52" s="8"/>
      <c r="E52" s="8"/>
      <c r="F52" s="8"/>
      <c r="G52" s="8"/>
      <c r="H52" s="8"/>
      <c r="I52" s="8"/>
      <c r="J52" s="8"/>
      <c r="K52" s="8"/>
      <c r="L52" s="8"/>
      <c r="M52" s="8"/>
      <c r="N52" s="9"/>
      <c r="O52" s="7"/>
      <c r="P52" s="8"/>
      <c r="Q52" s="8"/>
      <c r="R52" s="8"/>
      <c r="S52" s="8"/>
      <c r="T52" s="8"/>
      <c r="U52" s="8"/>
      <c r="V52" s="8"/>
      <c r="W52" s="8"/>
      <c r="X52" s="8"/>
      <c r="Y52" s="8"/>
      <c r="Z52" s="8"/>
      <c r="AA52" s="9"/>
    </row>
    <row r="53" spans="2:27" ht="21.6" customHeight="1">
      <c r="B53" s="10"/>
      <c r="C53" s="11"/>
      <c r="D53" s="11"/>
      <c r="E53" s="11"/>
      <c r="F53" s="11"/>
      <c r="G53" s="11"/>
      <c r="H53" s="11"/>
      <c r="I53" s="11"/>
      <c r="J53" s="11"/>
      <c r="K53" s="11"/>
      <c r="L53" s="11"/>
      <c r="M53" s="11"/>
      <c r="N53" s="12"/>
      <c r="O53" s="10"/>
      <c r="P53" s="11"/>
      <c r="Q53" s="11"/>
      <c r="R53" s="11"/>
      <c r="S53" s="11"/>
      <c r="T53" s="11"/>
      <c r="U53" s="11"/>
      <c r="V53" s="11"/>
      <c r="W53" s="11"/>
      <c r="X53" s="11"/>
      <c r="Y53" s="11"/>
      <c r="Z53" s="11"/>
      <c r="AA53" s="12"/>
    </row>
    <row r="54" spans="2:27" ht="21.6" customHeight="1">
      <c r="B54" s="4"/>
      <c r="C54" s="5"/>
      <c r="D54" s="5"/>
      <c r="E54" s="5"/>
      <c r="F54" s="5"/>
      <c r="G54" s="5"/>
      <c r="H54" s="5"/>
      <c r="I54" s="5"/>
      <c r="J54" s="5"/>
      <c r="K54" s="5"/>
      <c r="L54" s="5"/>
      <c r="M54" s="5"/>
      <c r="N54" s="6"/>
      <c r="O54" s="4"/>
      <c r="P54" s="5"/>
      <c r="Q54" s="5"/>
      <c r="R54" s="5"/>
      <c r="S54" s="5"/>
      <c r="T54" s="5"/>
      <c r="U54" s="5"/>
      <c r="V54" s="5"/>
      <c r="W54" s="5"/>
      <c r="X54" s="5"/>
      <c r="Y54" s="5"/>
      <c r="Z54" s="5"/>
      <c r="AA54" s="6"/>
    </row>
    <row r="55" spans="2:27" ht="21.6" customHeight="1">
      <c r="B55" s="7"/>
      <c r="C55" s="8"/>
      <c r="D55" s="8"/>
      <c r="E55" s="8"/>
      <c r="F55" s="8"/>
      <c r="G55" s="8"/>
      <c r="H55" s="8"/>
      <c r="I55" s="8"/>
      <c r="J55" s="8"/>
      <c r="K55" s="8"/>
      <c r="L55" s="8"/>
      <c r="M55" s="8"/>
      <c r="N55" s="9"/>
      <c r="O55" s="7"/>
      <c r="P55" s="8"/>
      <c r="Q55" s="8"/>
      <c r="R55" s="8"/>
      <c r="S55" s="8"/>
      <c r="T55" s="8"/>
      <c r="U55" s="8"/>
      <c r="V55" s="8"/>
      <c r="W55" s="8"/>
      <c r="X55" s="8"/>
      <c r="Y55" s="8"/>
      <c r="Z55" s="8"/>
      <c r="AA55" s="9"/>
    </row>
    <row r="56" spans="2:27" ht="21.6" customHeight="1">
      <c r="B56" s="7"/>
      <c r="C56" s="8"/>
      <c r="D56" s="8"/>
      <c r="E56" s="8"/>
      <c r="F56" s="8"/>
      <c r="G56" s="8"/>
      <c r="H56" s="8"/>
      <c r="I56" s="8"/>
      <c r="J56" s="8"/>
      <c r="K56" s="8"/>
      <c r="L56" s="8"/>
      <c r="M56" s="8"/>
      <c r="N56" s="9"/>
      <c r="O56" s="7"/>
      <c r="P56" s="8"/>
      <c r="Q56" s="8"/>
      <c r="R56" s="8"/>
      <c r="S56" s="8"/>
      <c r="T56" s="8"/>
      <c r="U56" s="8"/>
      <c r="V56" s="8"/>
      <c r="W56" s="8"/>
      <c r="X56" s="8"/>
      <c r="Y56" s="8"/>
      <c r="Z56" s="8"/>
      <c r="AA56" s="9"/>
    </row>
    <row r="57" spans="2:27" ht="21.6" customHeight="1">
      <c r="B57" s="7"/>
      <c r="C57" s="19"/>
      <c r="D57" s="19"/>
      <c r="E57" s="19"/>
      <c r="F57" s="19"/>
      <c r="G57" s="19"/>
      <c r="H57" s="19"/>
      <c r="I57" s="19"/>
      <c r="J57" s="19"/>
      <c r="K57" s="19"/>
      <c r="L57" s="19"/>
      <c r="M57" s="19"/>
      <c r="N57" s="9"/>
      <c r="O57" s="7"/>
      <c r="P57" s="19"/>
      <c r="Q57" s="19"/>
      <c r="R57" s="19"/>
      <c r="S57" s="19"/>
      <c r="T57" s="19"/>
      <c r="U57" s="19"/>
      <c r="V57" s="19"/>
      <c r="W57" s="19"/>
      <c r="X57" s="19"/>
      <c r="Y57" s="19"/>
      <c r="Z57" s="19"/>
      <c r="AA57" s="9"/>
    </row>
    <row r="58" spans="2:27" ht="21.6" customHeight="1">
      <c r="B58" s="7"/>
      <c r="C58" s="19"/>
      <c r="D58" s="19"/>
      <c r="E58" s="19"/>
      <c r="F58" s="19"/>
      <c r="G58" s="19"/>
      <c r="H58" s="19"/>
      <c r="I58" s="19"/>
      <c r="J58" s="19"/>
      <c r="K58" s="19"/>
      <c r="L58" s="19"/>
      <c r="M58" s="19"/>
      <c r="N58" s="9"/>
      <c r="O58" s="7"/>
      <c r="P58" s="19"/>
      <c r="Q58" s="19"/>
      <c r="R58" s="19"/>
      <c r="S58" s="19"/>
      <c r="T58" s="19"/>
      <c r="U58" s="19"/>
      <c r="V58" s="19"/>
      <c r="W58" s="19"/>
      <c r="X58" s="19"/>
      <c r="Y58" s="19"/>
      <c r="Z58" s="19"/>
      <c r="AA58" s="9"/>
    </row>
    <row r="59" spans="2:27" ht="21.6" customHeight="1">
      <c r="B59" s="7"/>
      <c r="C59" s="19"/>
      <c r="D59" s="19"/>
      <c r="E59" s="19"/>
      <c r="F59" s="19"/>
      <c r="G59" s="19"/>
      <c r="H59" s="19"/>
      <c r="I59" s="19"/>
      <c r="J59" s="19"/>
      <c r="K59" s="19"/>
      <c r="L59" s="19"/>
      <c r="M59" s="19"/>
      <c r="N59" s="9"/>
      <c r="O59" s="7"/>
      <c r="P59" s="19"/>
      <c r="Q59" s="19"/>
      <c r="R59" s="19"/>
      <c r="S59" s="19"/>
      <c r="T59" s="19"/>
      <c r="U59" s="19"/>
      <c r="V59" s="19"/>
      <c r="W59" s="19"/>
      <c r="X59" s="19"/>
      <c r="Y59" s="19"/>
      <c r="Z59" s="19"/>
      <c r="AA59" s="9"/>
    </row>
    <row r="60" spans="2:27" ht="21.6" customHeight="1">
      <c r="B60" s="7"/>
      <c r="C60" s="19"/>
      <c r="D60" s="19"/>
      <c r="E60" s="19"/>
      <c r="F60" s="19"/>
      <c r="G60" s="19"/>
      <c r="H60" s="19"/>
      <c r="I60" s="19"/>
      <c r="J60" s="19"/>
      <c r="K60" s="19"/>
      <c r="L60" s="19"/>
      <c r="M60" s="19"/>
      <c r="N60" s="9"/>
      <c r="O60" s="7"/>
      <c r="P60" s="19"/>
      <c r="Q60" s="19"/>
      <c r="R60" s="19"/>
      <c r="S60" s="19"/>
      <c r="T60" s="19"/>
      <c r="U60" s="19"/>
      <c r="V60" s="19"/>
      <c r="W60" s="19"/>
      <c r="X60" s="19"/>
      <c r="Y60" s="19"/>
      <c r="Z60" s="19"/>
      <c r="AA60" s="9"/>
    </row>
    <row r="61" spans="2:27" ht="21.6" customHeight="1">
      <c r="B61" s="7"/>
      <c r="C61" s="19"/>
      <c r="D61" s="19"/>
      <c r="E61" s="19"/>
      <c r="F61" s="19"/>
      <c r="G61" s="19"/>
      <c r="H61" s="19"/>
      <c r="I61" s="19"/>
      <c r="J61" s="19"/>
      <c r="K61" s="19"/>
      <c r="L61" s="19"/>
      <c r="M61" s="19"/>
      <c r="N61" s="9"/>
      <c r="O61" s="7"/>
      <c r="P61" s="19"/>
      <c r="Q61" s="19"/>
      <c r="R61" s="19"/>
      <c r="S61" s="19"/>
      <c r="T61" s="19"/>
      <c r="U61" s="19"/>
      <c r="V61" s="19"/>
      <c r="W61" s="19"/>
      <c r="X61" s="19"/>
      <c r="Y61" s="19"/>
      <c r="Z61" s="19"/>
      <c r="AA61" s="9"/>
    </row>
    <row r="62" spans="2:27" ht="21.6" customHeight="1">
      <c r="B62" s="7"/>
      <c r="C62" s="19"/>
      <c r="D62" s="19"/>
      <c r="E62" s="19"/>
      <c r="F62" s="19"/>
      <c r="G62" s="19"/>
      <c r="H62" s="19"/>
      <c r="I62" s="19"/>
      <c r="J62" s="19"/>
      <c r="K62" s="19"/>
      <c r="L62" s="19"/>
      <c r="M62" s="19"/>
      <c r="N62" s="9"/>
      <c r="O62" s="7"/>
      <c r="P62" s="19"/>
      <c r="Q62" s="19"/>
      <c r="R62" s="19"/>
      <c r="S62" s="19"/>
      <c r="T62" s="19"/>
      <c r="U62" s="19"/>
      <c r="V62" s="19"/>
      <c r="W62" s="19"/>
      <c r="X62" s="19"/>
      <c r="Y62" s="19"/>
      <c r="Z62" s="19"/>
      <c r="AA62" s="9"/>
    </row>
    <row r="63" spans="2:27" ht="21.6" customHeight="1">
      <c r="B63" s="17">
        <v>7.0000000000000007E-2</v>
      </c>
      <c r="C63" s="19"/>
      <c r="D63" s="19"/>
      <c r="E63" s="19"/>
      <c r="F63" s="19"/>
      <c r="G63" s="19"/>
      <c r="H63" s="19"/>
      <c r="I63" s="19"/>
      <c r="J63" s="19"/>
      <c r="K63" s="19"/>
      <c r="L63" s="19"/>
      <c r="M63" s="19"/>
      <c r="N63" s="9"/>
      <c r="O63" s="17">
        <v>7.0000000000000007E-2</v>
      </c>
      <c r="P63" s="19"/>
      <c r="Q63" s="19"/>
      <c r="R63" s="19"/>
      <c r="S63" s="19"/>
      <c r="T63" s="19"/>
      <c r="U63" s="19"/>
      <c r="V63" s="19"/>
      <c r="W63" s="19"/>
      <c r="X63" s="19"/>
      <c r="Y63" s="19"/>
      <c r="Z63" s="19"/>
      <c r="AA63" s="9"/>
    </row>
    <row r="64" spans="2:27" ht="21.6" customHeight="1">
      <c r="B64" s="7"/>
      <c r="C64" s="19"/>
      <c r="D64" s="19"/>
      <c r="E64" s="19"/>
      <c r="F64" s="19"/>
      <c r="G64" s="19"/>
      <c r="H64" s="19"/>
      <c r="I64" s="19"/>
      <c r="J64" s="19"/>
      <c r="K64" s="19"/>
      <c r="L64" s="19"/>
      <c r="M64" s="19"/>
      <c r="N64" s="9"/>
      <c r="O64" s="7"/>
      <c r="P64" s="19"/>
      <c r="Q64" s="19"/>
      <c r="R64" s="19"/>
      <c r="S64" s="19"/>
      <c r="T64" s="19"/>
      <c r="U64" s="19"/>
      <c r="V64" s="19"/>
      <c r="W64" s="19"/>
      <c r="X64" s="19"/>
      <c r="Y64" s="19"/>
      <c r="Z64" s="19"/>
      <c r="AA64" s="9"/>
    </row>
    <row r="65" spans="2:27" ht="21.6" customHeight="1">
      <c r="B65" s="7"/>
      <c r="C65" s="19"/>
      <c r="D65" s="19"/>
      <c r="E65" s="19"/>
      <c r="F65" s="19"/>
      <c r="G65" s="19"/>
      <c r="H65" s="19"/>
      <c r="I65" s="19"/>
      <c r="J65" s="19"/>
      <c r="K65" s="19"/>
      <c r="L65" s="19"/>
      <c r="M65" s="19"/>
      <c r="N65" s="9"/>
      <c r="O65" s="7"/>
      <c r="P65" s="19"/>
      <c r="Q65" s="19"/>
      <c r="R65" s="19"/>
      <c r="S65" s="19"/>
      <c r="T65" s="19"/>
      <c r="U65" s="19"/>
      <c r="V65" s="19"/>
      <c r="W65" s="19"/>
      <c r="X65" s="19"/>
      <c r="Y65" s="19"/>
      <c r="Z65" s="19"/>
      <c r="AA65" s="9"/>
    </row>
    <row r="66" spans="2:27" ht="21.6" customHeight="1">
      <c r="B66" s="7"/>
      <c r="C66" s="8"/>
      <c r="D66" s="8"/>
      <c r="E66" s="8"/>
      <c r="F66" s="8"/>
      <c r="G66" s="8"/>
      <c r="H66" s="8"/>
      <c r="I66" s="8"/>
      <c r="J66" s="8"/>
      <c r="K66" s="8"/>
      <c r="L66" s="8"/>
      <c r="M66" s="8"/>
      <c r="N66" s="9"/>
      <c r="O66" s="7"/>
      <c r="P66" s="8"/>
      <c r="Q66" s="8"/>
      <c r="R66" s="8"/>
      <c r="S66" s="8"/>
      <c r="T66" s="8"/>
      <c r="U66" s="8"/>
      <c r="V66" s="8"/>
      <c r="W66" s="8"/>
      <c r="X66" s="8"/>
      <c r="Y66" s="8"/>
      <c r="Z66" s="8"/>
      <c r="AA66" s="9"/>
    </row>
    <row r="67" spans="2:27" ht="21.6" customHeight="1">
      <c r="B67" s="10"/>
      <c r="C67" s="11"/>
      <c r="D67" s="11"/>
      <c r="E67" s="11"/>
      <c r="F67" s="11"/>
      <c r="G67" s="11"/>
      <c r="H67" s="11"/>
      <c r="I67" s="11"/>
      <c r="J67" s="11"/>
      <c r="K67" s="11"/>
      <c r="L67" s="11"/>
      <c r="M67" s="11"/>
      <c r="N67" s="12"/>
      <c r="O67" s="10"/>
      <c r="P67" s="11"/>
      <c r="Q67" s="11"/>
      <c r="R67" s="11"/>
      <c r="S67" s="11"/>
      <c r="T67" s="11"/>
      <c r="U67" s="11"/>
      <c r="V67" s="11"/>
      <c r="W67" s="11"/>
      <c r="X67" s="11"/>
      <c r="Y67" s="11"/>
      <c r="Z67" s="11"/>
      <c r="AA67" s="12"/>
    </row>
    <row r="68" spans="2:27" ht="15"/>
    <row r="69" spans="2:27" ht="15"/>
    <row r="70" spans="2:27" ht="15"/>
  </sheetData>
  <mergeCells count="12">
    <mergeCell ref="C46:E48"/>
    <mergeCell ref="P46:R48"/>
    <mergeCell ref="C51:M51"/>
    <mergeCell ref="P51:Z51"/>
    <mergeCell ref="C43:M45"/>
    <mergeCell ref="P43:Z45"/>
    <mergeCell ref="C23:M23"/>
    <mergeCell ref="P23:Z23"/>
    <mergeCell ref="C15:M17"/>
    <mergeCell ref="P15:Z17"/>
    <mergeCell ref="C18:M20"/>
    <mergeCell ref="P18:Z20"/>
  </mergeCells>
  <conditionalFormatting sqref="C23">
    <cfRule type="expression" dxfId="131" priority="33">
      <formula>0.15&lt;=$C$18</formula>
    </cfRule>
    <cfRule type="expression" dxfId="130" priority="34">
      <formula>AND(0.1&lt;=$C$18,$C$18&lt;0.15)</formula>
    </cfRule>
    <cfRule type="expression" dxfId="129" priority="35">
      <formula>AND(0.05&lt;=$C$18,$C$18&lt;0.1)</formula>
    </cfRule>
    <cfRule type="expression" dxfId="128" priority="36">
      <formula>$C$18&lt;0.05</formula>
    </cfRule>
  </conditionalFormatting>
  <conditionalFormatting sqref="C51">
    <cfRule type="expression" dxfId="127" priority="1">
      <formula>2&lt;=$C$46</formula>
    </cfRule>
    <cfRule type="expression" dxfId="126" priority="2">
      <formula>AND(1&lt;=$C$46,$C$46&lt;2)</formula>
    </cfRule>
    <cfRule type="expression" dxfId="125" priority="3">
      <formula>AND(0.5&lt;=$C$46,$C$46&lt;1)</formula>
    </cfRule>
    <cfRule type="expression" dxfId="124" priority="4">
      <formula>$C$46&lt;0.5</formula>
    </cfRule>
  </conditionalFormatting>
  <conditionalFormatting sqref="P23">
    <cfRule type="expression" dxfId="123" priority="17">
      <formula>0.15&lt;=$P$18</formula>
    </cfRule>
    <cfRule type="expression" dxfId="122" priority="18">
      <formula>AND(0.1&lt;=$P$18,$P$18&lt;0.15)</formula>
    </cfRule>
    <cfRule type="expression" dxfId="121" priority="19">
      <formula>AND(0.05&lt;=$P$18,$P$18&lt;0.1)</formula>
    </cfRule>
    <cfRule type="expression" dxfId="120" priority="20">
      <formula>$P$18&lt;0.05</formula>
    </cfRule>
  </conditionalFormatting>
  <conditionalFormatting sqref="P51">
    <cfRule type="expression" dxfId="119" priority="9">
      <formula>1&gt;=$P$46</formula>
    </cfRule>
    <cfRule type="expression" dxfId="118" priority="10">
      <formula>AND(1&lt;=$P$46,$P$46&lt;2)</formula>
    </cfRule>
    <cfRule type="expression" dxfId="117" priority="11">
      <formula>AND(2&lt;=$P$46,$P$46&lt;4)</formula>
    </cfRule>
    <cfRule type="expression" dxfId="116" priority="12">
      <formula>$P$46&gt;4</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E354-EEFF-410B-9F1C-2A57AACEB65D}">
  <dimension ref="A1:AB99"/>
  <sheetViews>
    <sheetView zoomScale="43" zoomScaleNormal="48" workbookViewId="0"/>
  </sheetViews>
  <sheetFormatPr defaultColWidth="0" defaultRowHeight="14.45" customHeight="1"/>
  <cols>
    <col min="1"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5"/>
    <row r="12" spans="2:27" ht="21.6"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21.6" customHeight="1">
      <c r="B15" s="7"/>
      <c r="C15" s="96" t="s">
        <v>33</v>
      </c>
      <c r="D15" s="96"/>
      <c r="E15" s="96"/>
      <c r="F15" s="96"/>
      <c r="G15" s="96"/>
      <c r="H15" s="96"/>
      <c r="I15" s="96"/>
      <c r="J15" s="96"/>
      <c r="K15" s="96"/>
      <c r="L15" s="96"/>
      <c r="M15" s="96"/>
      <c r="N15" s="9"/>
      <c r="O15" s="7"/>
      <c r="P15" s="96" t="s">
        <v>34</v>
      </c>
      <c r="Q15" s="96"/>
      <c r="R15" s="96"/>
      <c r="S15" s="96"/>
      <c r="T15" s="96"/>
      <c r="U15" s="96"/>
      <c r="V15" s="96"/>
      <c r="W15" s="96"/>
      <c r="X15" s="96"/>
      <c r="Y15" s="96"/>
      <c r="Z15" s="96"/>
      <c r="AA15" s="9"/>
    </row>
    <row r="16" spans="2:27" ht="21.6" customHeight="1">
      <c r="B16" s="7"/>
      <c r="C16" s="96"/>
      <c r="D16" s="96"/>
      <c r="E16" s="96"/>
      <c r="F16" s="96"/>
      <c r="G16" s="96"/>
      <c r="H16" s="96"/>
      <c r="I16" s="96"/>
      <c r="J16" s="96"/>
      <c r="K16" s="96"/>
      <c r="L16" s="96"/>
      <c r="M16" s="96"/>
      <c r="N16" s="9"/>
      <c r="O16" s="7"/>
      <c r="P16" s="96"/>
      <c r="Q16" s="96"/>
      <c r="R16" s="96"/>
      <c r="S16" s="96"/>
      <c r="T16" s="96"/>
      <c r="U16" s="96"/>
      <c r="V16" s="96"/>
      <c r="W16" s="96"/>
      <c r="X16" s="96"/>
      <c r="Y16" s="96"/>
      <c r="Z16" s="96"/>
      <c r="AA16" s="9"/>
    </row>
    <row r="17" spans="2:27" ht="21.6" customHeight="1">
      <c r="B17" s="7"/>
      <c r="C17" s="96"/>
      <c r="D17" s="96"/>
      <c r="E17" s="96"/>
      <c r="F17" s="96"/>
      <c r="G17" s="96"/>
      <c r="H17" s="96"/>
      <c r="I17" s="96"/>
      <c r="J17" s="96"/>
      <c r="K17" s="96"/>
      <c r="L17" s="96"/>
      <c r="M17" s="96"/>
      <c r="N17" s="9"/>
      <c r="O17" s="7"/>
      <c r="P17" s="96"/>
      <c r="Q17" s="96"/>
      <c r="R17" s="96"/>
      <c r="S17" s="96"/>
      <c r="T17" s="96"/>
      <c r="U17" s="96"/>
      <c r="V17" s="96"/>
      <c r="W17" s="96"/>
      <c r="X17" s="96"/>
      <c r="Y17" s="96"/>
      <c r="Z17" s="96"/>
      <c r="AA17" s="9"/>
    </row>
    <row r="18" spans="2:27" ht="21.6" customHeight="1">
      <c r="B18" s="7"/>
      <c r="C18" s="108">
        <f>'Financial Statements'!I19</f>
        <v>38.749345048567164</v>
      </c>
      <c r="D18" s="108"/>
      <c r="E18" s="108"/>
      <c r="F18" s="108"/>
      <c r="G18" s="108"/>
      <c r="H18" s="108"/>
      <c r="I18" s="108"/>
      <c r="J18" s="108"/>
      <c r="K18" s="108"/>
      <c r="L18" s="108"/>
      <c r="M18" s="108"/>
      <c r="N18" s="9"/>
      <c r="O18" s="7"/>
      <c r="P18" s="110">
        <f>'Financial Statements'!I20</f>
        <v>177.28658282668442</v>
      </c>
      <c r="Q18" s="110"/>
      <c r="R18" s="110"/>
      <c r="S18" s="110"/>
      <c r="T18" s="110"/>
      <c r="U18" s="110"/>
      <c r="V18" s="110"/>
      <c r="W18" s="110"/>
      <c r="X18" s="110"/>
      <c r="Y18" s="110"/>
      <c r="Z18" s="110"/>
      <c r="AA18" s="9"/>
    </row>
    <row r="19" spans="2:27" ht="21.6" customHeight="1">
      <c r="B19" s="7"/>
      <c r="C19" s="108"/>
      <c r="D19" s="108"/>
      <c r="E19" s="108"/>
      <c r="F19" s="108"/>
      <c r="G19" s="108"/>
      <c r="H19" s="108"/>
      <c r="I19" s="108"/>
      <c r="J19" s="108"/>
      <c r="K19" s="108"/>
      <c r="L19" s="108"/>
      <c r="M19" s="108"/>
      <c r="N19" s="9"/>
      <c r="O19" s="7"/>
      <c r="P19" s="110"/>
      <c r="Q19" s="110"/>
      <c r="R19" s="110"/>
      <c r="S19" s="110"/>
      <c r="T19" s="110"/>
      <c r="U19" s="110"/>
      <c r="V19" s="110"/>
      <c r="W19" s="110"/>
      <c r="X19" s="110"/>
      <c r="Y19" s="110"/>
      <c r="Z19" s="110"/>
      <c r="AA19" s="9"/>
    </row>
    <row r="20" spans="2:27" ht="21.6" customHeight="1">
      <c r="B20" s="7"/>
      <c r="C20" s="108"/>
      <c r="D20" s="108"/>
      <c r="E20" s="108"/>
      <c r="F20" s="108"/>
      <c r="G20" s="108"/>
      <c r="H20" s="108"/>
      <c r="I20" s="108"/>
      <c r="J20" s="108"/>
      <c r="K20" s="108"/>
      <c r="L20" s="108"/>
      <c r="M20" s="108"/>
      <c r="N20" s="9"/>
      <c r="O20" s="7"/>
      <c r="P20" s="110"/>
      <c r="Q20" s="110"/>
      <c r="R20" s="110"/>
      <c r="S20" s="110"/>
      <c r="T20" s="110"/>
      <c r="U20" s="110"/>
      <c r="V20" s="110"/>
      <c r="W20" s="110"/>
      <c r="X20" s="110"/>
      <c r="Y20" s="110"/>
      <c r="Z20" s="110"/>
      <c r="AA20" s="9"/>
    </row>
    <row r="21" spans="2:27" ht="21.6" customHeight="1">
      <c r="B21" s="17">
        <v>0.14000000000000001</v>
      </c>
      <c r="C21" s="15" t="str">
        <f>IF(B21&gt;0,"+"&amp;B21,B21)&amp;"% vs 2021"</f>
        <v>+0,14% vs 2021</v>
      </c>
      <c r="D21" s="16"/>
      <c r="E21" s="16"/>
      <c r="F21" s="16"/>
      <c r="G21" s="16"/>
      <c r="H21" s="16"/>
      <c r="I21" s="16"/>
      <c r="J21" s="16"/>
      <c r="K21" s="16"/>
      <c r="L21" s="16"/>
      <c r="M21" s="16"/>
      <c r="N21" s="9"/>
      <c r="O21" s="17">
        <v>-0.14000000000000001</v>
      </c>
      <c r="P21" s="15" t="str">
        <f>IF(O21&gt;0,"+"&amp;O21,O21)&amp;"% vs 2021"</f>
        <v>-0,14% vs 2021</v>
      </c>
      <c r="Q21" s="16"/>
      <c r="R21" s="16"/>
      <c r="S21" s="16"/>
      <c r="T21" s="16"/>
      <c r="U21" s="16"/>
      <c r="V21" s="16"/>
      <c r="W21" s="16"/>
      <c r="X21" s="16"/>
      <c r="Y21" s="16"/>
      <c r="Z21" s="16"/>
      <c r="AA21" s="9"/>
    </row>
    <row r="22" spans="2:27" ht="21.6" customHeight="1">
      <c r="B22" s="17">
        <v>1E-3</v>
      </c>
      <c r="C22" s="14"/>
      <c r="D22" s="14"/>
      <c r="E22" s="14"/>
      <c r="F22" s="14"/>
      <c r="G22" s="8"/>
      <c r="H22" s="8"/>
      <c r="I22" s="8"/>
      <c r="J22" s="8"/>
      <c r="K22" s="8"/>
      <c r="L22" s="8"/>
      <c r="M22" s="8"/>
      <c r="N22" s="9"/>
      <c r="O22" s="17">
        <v>1E-3</v>
      </c>
      <c r="P22" s="14"/>
      <c r="Q22" s="14"/>
      <c r="R22" s="14"/>
      <c r="S22" s="14"/>
      <c r="T22" s="8"/>
      <c r="U22" s="8"/>
      <c r="V22" s="8"/>
      <c r="W22" s="8"/>
      <c r="X22" s="8"/>
      <c r="Y22" s="8"/>
      <c r="Z22" s="8"/>
      <c r="AA22" s="9"/>
    </row>
    <row r="23" spans="2:27" ht="21.6"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21.6"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21.6"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21.6"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21.6"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21.6"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21.6"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21.6"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21.6"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21.6"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21.6"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21.6"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21.6"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21.6"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21.6"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21.6"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21.6"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21.6" customHeight="1">
      <c r="B40" s="4"/>
      <c r="C40" s="5"/>
      <c r="D40" s="5"/>
      <c r="E40" s="5"/>
      <c r="F40" s="5"/>
      <c r="G40" s="5"/>
      <c r="H40" s="5"/>
      <c r="I40" s="5"/>
      <c r="J40" s="5"/>
      <c r="K40" s="5"/>
      <c r="L40" s="5"/>
      <c r="M40" s="5"/>
      <c r="N40" s="6"/>
      <c r="O40" s="4"/>
      <c r="P40" s="5"/>
      <c r="Q40" s="5"/>
      <c r="R40" s="5"/>
      <c r="S40" s="5"/>
      <c r="T40" s="5"/>
      <c r="U40" s="5"/>
      <c r="V40" s="5"/>
      <c r="W40" s="5"/>
      <c r="X40" s="5"/>
      <c r="Y40" s="5"/>
      <c r="Z40" s="5"/>
      <c r="AA40" s="6"/>
    </row>
    <row r="41" spans="2:27" ht="21.6" customHeight="1">
      <c r="B41" s="7"/>
      <c r="C41" s="8"/>
      <c r="D41" s="8"/>
      <c r="E41" s="8"/>
      <c r="F41" s="8"/>
      <c r="G41" s="8"/>
      <c r="H41" s="8"/>
      <c r="I41" s="8"/>
      <c r="J41" s="8"/>
      <c r="K41" s="8"/>
      <c r="L41" s="8"/>
      <c r="M41" s="8"/>
      <c r="N41" s="9"/>
      <c r="O41" s="7"/>
      <c r="P41" s="8"/>
      <c r="Q41" s="8"/>
      <c r="R41" s="8"/>
      <c r="S41" s="8"/>
      <c r="T41" s="8"/>
      <c r="U41" s="8"/>
      <c r="V41" s="8"/>
      <c r="W41" s="8"/>
      <c r="X41" s="8"/>
      <c r="Y41" s="8"/>
      <c r="Z41" s="8"/>
      <c r="AA41" s="9"/>
    </row>
    <row r="42" spans="2:27" ht="21.6" customHeight="1">
      <c r="B42" s="7"/>
      <c r="C42" s="8"/>
      <c r="D42" s="8"/>
      <c r="E42" s="8"/>
      <c r="F42" s="8"/>
      <c r="G42" s="8"/>
      <c r="H42" s="8"/>
      <c r="I42" s="8"/>
      <c r="J42" s="8"/>
      <c r="K42" s="8"/>
      <c r="L42" s="8"/>
      <c r="M42" s="8"/>
      <c r="N42" s="9"/>
      <c r="O42" s="7"/>
      <c r="P42" s="8"/>
      <c r="Q42" s="8"/>
      <c r="R42" s="8"/>
      <c r="S42" s="8"/>
      <c r="T42" s="8"/>
      <c r="U42" s="8"/>
      <c r="V42" s="8"/>
      <c r="W42" s="8"/>
      <c r="X42" s="8"/>
      <c r="Y42" s="8"/>
      <c r="Z42" s="8"/>
      <c r="AA42" s="9"/>
    </row>
    <row r="43" spans="2:27" ht="21.6" customHeight="1">
      <c r="B43" s="7"/>
      <c r="C43" s="96" t="s">
        <v>35</v>
      </c>
      <c r="D43" s="96"/>
      <c r="E43" s="96"/>
      <c r="F43" s="96"/>
      <c r="G43" s="96"/>
      <c r="H43" s="96"/>
      <c r="I43" s="96"/>
      <c r="J43" s="96"/>
      <c r="K43" s="96"/>
      <c r="L43" s="96"/>
      <c r="M43" s="96"/>
      <c r="N43" s="9"/>
      <c r="O43" s="7"/>
      <c r="P43" s="96" t="s">
        <v>36</v>
      </c>
      <c r="Q43" s="96"/>
      <c r="R43" s="96"/>
      <c r="S43" s="96"/>
      <c r="T43" s="96"/>
      <c r="U43" s="96"/>
      <c r="V43" s="96"/>
      <c r="W43" s="96"/>
      <c r="X43" s="96"/>
      <c r="Y43" s="96"/>
      <c r="Z43" s="96"/>
      <c r="AA43" s="9"/>
    </row>
    <row r="44" spans="2:27" ht="21.6" customHeight="1">
      <c r="B44" s="7"/>
      <c r="C44" s="96"/>
      <c r="D44" s="96"/>
      <c r="E44" s="96"/>
      <c r="F44" s="96"/>
      <c r="G44" s="96"/>
      <c r="H44" s="96"/>
      <c r="I44" s="96"/>
      <c r="J44" s="96"/>
      <c r="K44" s="96"/>
      <c r="L44" s="96"/>
      <c r="M44" s="96"/>
      <c r="N44" s="9"/>
      <c r="O44" s="7"/>
      <c r="P44" s="96"/>
      <c r="Q44" s="96"/>
      <c r="R44" s="96"/>
      <c r="S44" s="96"/>
      <c r="T44" s="96"/>
      <c r="U44" s="96"/>
      <c r="V44" s="96"/>
      <c r="W44" s="96"/>
      <c r="X44" s="96"/>
      <c r="Y44" s="96"/>
      <c r="Z44" s="96"/>
      <c r="AA44" s="9"/>
    </row>
    <row r="45" spans="2:27" ht="21.6" customHeight="1">
      <c r="B45" s="7"/>
      <c r="C45" s="96"/>
      <c r="D45" s="96"/>
      <c r="E45" s="96"/>
      <c r="F45" s="96"/>
      <c r="G45" s="96"/>
      <c r="H45" s="96"/>
      <c r="I45" s="96"/>
      <c r="J45" s="96"/>
      <c r="K45" s="96"/>
      <c r="L45" s="96"/>
      <c r="M45" s="96"/>
      <c r="N45" s="9"/>
      <c r="O45" s="7"/>
      <c r="P45" s="96"/>
      <c r="Q45" s="96"/>
      <c r="R45" s="96"/>
      <c r="S45" s="96"/>
      <c r="T45" s="96"/>
      <c r="U45" s="96"/>
      <c r="V45" s="96"/>
      <c r="W45" s="96"/>
      <c r="X45" s="96"/>
      <c r="Y45" s="96"/>
      <c r="Z45" s="96"/>
      <c r="AA45" s="9"/>
    </row>
    <row r="46" spans="2:27" ht="21.6" customHeight="1">
      <c r="B46" s="7"/>
      <c r="C46" s="108">
        <f>'Financial Statements'!I21</f>
        <v>88.460897809611055</v>
      </c>
      <c r="D46" s="108"/>
      <c r="E46" s="108"/>
      <c r="F46" s="14"/>
      <c r="G46" s="8"/>
      <c r="H46" s="8"/>
      <c r="I46" s="8"/>
      <c r="J46" s="8"/>
      <c r="K46" s="8"/>
      <c r="L46" s="8"/>
      <c r="M46" s="8"/>
      <c r="N46" s="9"/>
      <c r="O46" s="7"/>
      <c r="P46" s="109">
        <f>'Financial Statements'!I22</f>
        <v>127.57503006564053</v>
      </c>
      <c r="Q46" s="109"/>
      <c r="R46" s="109"/>
      <c r="S46" s="14"/>
      <c r="T46" s="8"/>
      <c r="U46" s="8"/>
      <c r="V46" s="8"/>
      <c r="W46" s="8"/>
      <c r="X46" s="8"/>
      <c r="Y46" s="8"/>
      <c r="Z46" s="8"/>
      <c r="AA46" s="9"/>
    </row>
    <row r="47" spans="2:27" ht="21.6" customHeight="1">
      <c r="B47" s="7"/>
      <c r="C47" s="108"/>
      <c r="D47" s="108"/>
      <c r="E47" s="108"/>
      <c r="F47" s="14"/>
      <c r="G47" s="8"/>
      <c r="H47" s="8"/>
      <c r="I47" s="8"/>
      <c r="J47" s="8"/>
      <c r="K47" s="8"/>
      <c r="L47" s="8"/>
      <c r="M47" s="8"/>
      <c r="N47" s="9"/>
      <c r="O47" s="7"/>
      <c r="P47" s="109"/>
      <c r="Q47" s="109"/>
      <c r="R47" s="109"/>
      <c r="S47" s="14"/>
      <c r="T47" s="8"/>
      <c r="U47" s="8"/>
      <c r="V47" s="8"/>
      <c r="W47" s="8"/>
      <c r="X47" s="8"/>
      <c r="Y47" s="8"/>
      <c r="Z47" s="8"/>
      <c r="AA47" s="9"/>
    </row>
    <row r="48" spans="2:27" ht="21.6" customHeight="1">
      <c r="B48" s="7"/>
      <c r="C48" s="108"/>
      <c r="D48" s="108"/>
      <c r="E48" s="108"/>
      <c r="F48" s="14"/>
      <c r="G48" s="8"/>
      <c r="H48" s="8"/>
      <c r="I48" s="8"/>
      <c r="J48" s="8"/>
      <c r="K48" s="8"/>
      <c r="L48" s="8"/>
      <c r="M48" s="8"/>
      <c r="N48" s="9"/>
      <c r="O48" s="7"/>
      <c r="P48" s="109"/>
      <c r="Q48" s="109"/>
      <c r="R48" s="109"/>
      <c r="S48" s="14"/>
      <c r="T48" s="8"/>
      <c r="U48" s="8"/>
      <c r="V48" s="8"/>
      <c r="W48" s="8"/>
      <c r="X48" s="8"/>
      <c r="Y48" s="8"/>
      <c r="Z48" s="8"/>
      <c r="AA48" s="9"/>
    </row>
    <row r="49" spans="2:27" ht="21.6" customHeight="1">
      <c r="B49" s="17">
        <v>-0.12</v>
      </c>
      <c r="C49" s="15" t="str">
        <f>IF(B49&gt;0,"+"&amp;B49,B49)&amp;"% vs 2021"</f>
        <v>-0,12% vs 2021</v>
      </c>
      <c r="D49" s="16"/>
      <c r="E49" s="16"/>
      <c r="F49" s="16"/>
      <c r="G49" s="16"/>
      <c r="H49" s="16"/>
      <c r="I49" s="16"/>
      <c r="J49" s="16"/>
      <c r="K49" s="16"/>
      <c r="L49" s="16"/>
      <c r="M49" s="16"/>
      <c r="N49" s="9"/>
      <c r="O49" s="17">
        <v>0.13</v>
      </c>
      <c r="P49" s="15" t="str">
        <f>IF(O49&gt;0,"+"&amp;O49,O49)&amp;"% vs 2021"</f>
        <v>+0,13% vs 2021</v>
      </c>
      <c r="Q49" s="16"/>
      <c r="R49" s="16"/>
      <c r="S49" s="16"/>
      <c r="T49" s="16"/>
      <c r="U49" s="16"/>
      <c r="V49" s="16"/>
      <c r="W49" s="16"/>
      <c r="X49" s="16"/>
      <c r="Y49" s="16"/>
      <c r="Z49" s="16"/>
      <c r="AA49" s="9"/>
    </row>
    <row r="50" spans="2:27" ht="21.6" customHeight="1">
      <c r="B50" s="7"/>
      <c r="C50" s="14"/>
      <c r="D50" s="14"/>
      <c r="E50" s="14"/>
      <c r="F50" s="14"/>
      <c r="G50" s="8"/>
      <c r="H50" s="8"/>
      <c r="I50" s="8"/>
      <c r="J50" s="8"/>
      <c r="K50" s="8"/>
      <c r="L50" s="8"/>
      <c r="M50" s="8"/>
      <c r="N50" s="9"/>
      <c r="O50" s="7"/>
      <c r="P50" s="14"/>
      <c r="Q50" s="14"/>
      <c r="R50" s="14"/>
      <c r="S50" s="14"/>
      <c r="T50" s="8"/>
      <c r="U50" s="8"/>
      <c r="V50" s="8"/>
      <c r="W50" s="8"/>
      <c r="X50" s="8"/>
      <c r="Y50" s="8"/>
      <c r="Z50" s="8"/>
      <c r="AA50" s="9"/>
    </row>
    <row r="51" spans="2:27" ht="21.6" customHeight="1">
      <c r="B51" s="7"/>
      <c r="C51" s="95"/>
      <c r="D51" s="95"/>
      <c r="E51" s="95"/>
      <c r="F51" s="95"/>
      <c r="G51" s="95"/>
      <c r="H51" s="95"/>
      <c r="I51" s="95"/>
      <c r="J51" s="95"/>
      <c r="K51" s="95"/>
      <c r="L51" s="95"/>
      <c r="M51" s="95"/>
      <c r="N51" s="9"/>
      <c r="O51" s="7"/>
      <c r="P51" s="95"/>
      <c r="Q51" s="95"/>
      <c r="R51" s="95"/>
      <c r="S51" s="95"/>
      <c r="T51" s="95"/>
      <c r="U51" s="95"/>
      <c r="V51" s="95"/>
      <c r="W51" s="95"/>
      <c r="X51" s="95"/>
      <c r="Y51" s="95"/>
      <c r="Z51" s="95"/>
      <c r="AA51" s="9"/>
    </row>
    <row r="52" spans="2:27" ht="21.6" customHeight="1">
      <c r="B52" s="7"/>
      <c r="C52" s="8"/>
      <c r="D52" s="8"/>
      <c r="E52" s="8"/>
      <c r="F52" s="8"/>
      <c r="G52" s="8"/>
      <c r="H52" s="8"/>
      <c r="I52" s="8"/>
      <c r="J52" s="8"/>
      <c r="K52" s="8"/>
      <c r="L52" s="8"/>
      <c r="M52" s="8"/>
      <c r="N52" s="9"/>
      <c r="O52" s="7"/>
      <c r="P52" s="8"/>
      <c r="Q52" s="8"/>
      <c r="R52" s="8"/>
      <c r="S52" s="8"/>
      <c r="T52" s="8"/>
      <c r="U52" s="8"/>
      <c r="V52" s="8"/>
      <c r="W52" s="8"/>
      <c r="X52" s="8"/>
      <c r="Y52" s="8"/>
      <c r="Z52" s="8"/>
      <c r="AA52" s="9"/>
    </row>
    <row r="53" spans="2:27" ht="21.6" customHeight="1">
      <c r="B53" s="10"/>
      <c r="C53" s="11"/>
      <c r="D53" s="11"/>
      <c r="E53" s="11"/>
      <c r="F53" s="11"/>
      <c r="G53" s="11"/>
      <c r="H53" s="11"/>
      <c r="I53" s="11"/>
      <c r="J53" s="11"/>
      <c r="K53" s="11"/>
      <c r="L53" s="11"/>
      <c r="M53" s="11"/>
      <c r="N53" s="12"/>
      <c r="O53" s="10"/>
      <c r="P53" s="11"/>
      <c r="Q53" s="11"/>
      <c r="R53" s="11"/>
      <c r="S53" s="11"/>
      <c r="T53" s="11"/>
      <c r="U53" s="11"/>
      <c r="V53" s="11"/>
      <c r="W53" s="11"/>
      <c r="X53" s="11"/>
      <c r="Y53" s="11"/>
      <c r="Z53" s="11"/>
      <c r="AA53" s="12"/>
    </row>
    <row r="54" spans="2:27" ht="21.6" customHeight="1">
      <c r="B54" s="4"/>
      <c r="C54" s="5"/>
      <c r="D54" s="5"/>
      <c r="E54" s="5"/>
      <c r="F54" s="5"/>
      <c r="G54" s="5"/>
      <c r="H54" s="5"/>
      <c r="I54" s="5"/>
      <c r="J54" s="5"/>
      <c r="K54" s="5"/>
      <c r="L54" s="5"/>
      <c r="M54" s="5"/>
      <c r="N54" s="6"/>
      <c r="O54" s="4"/>
      <c r="P54" s="5"/>
      <c r="Q54" s="5"/>
      <c r="R54" s="5"/>
      <c r="S54" s="5"/>
      <c r="T54" s="5"/>
      <c r="U54" s="5"/>
      <c r="V54" s="5"/>
      <c r="W54" s="5"/>
      <c r="X54" s="5"/>
      <c r="Y54" s="5"/>
      <c r="Z54" s="5"/>
      <c r="AA54" s="6"/>
    </row>
    <row r="55" spans="2:27" ht="21.6" customHeight="1">
      <c r="B55" s="7"/>
      <c r="C55" s="8"/>
      <c r="D55" s="8"/>
      <c r="E55" s="8"/>
      <c r="F55" s="8"/>
      <c r="G55" s="8"/>
      <c r="H55" s="8"/>
      <c r="I55" s="8"/>
      <c r="J55" s="8"/>
      <c r="K55" s="8"/>
      <c r="L55" s="8"/>
      <c r="M55" s="8"/>
      <c r="N55" s="9"/>
      <c r="O55" s="7"/>
      <c r="P55" s="8"/>
      <c r="Q55" s="8"/>
      <c r="R55" s="8"/>
      <c r="S55" s="8"/>
      <c r="T55" s="8"/>
      <c r="U55" s="8"/>
      <c r="V55" s="8"/>
      <c r="W55" s="8"/>
      <c r="X55" s="8"/>
      <c r="Y55" s="8"/>
      <c r="Z55" s="8"/>
      <c r="AA55" s="9"/>
    </row>
    <row r="56" spans="2:27" ht="21.6" customHeight="1">
      <c r="B56" s="7"/>
      <c r="C56" s="8"/>
      <c r="D56" s="8"/>
      <c r="E56" s="8"/>
      <c r="F56" s="8"/>
      <c r="G56" s="8"/>
      <c r="H56" s="8"/>
      <c r="I56" s="8"/>
      <c r="J56" s="8"/>
      <c r="K56" s="8"/>
      <c r="L56" s="8"/>
      <c r="M56" s="8"/>
      <c r="N56" s="9"/>
      <c r="O56" s="7"/>
      <c r="P56" s="8"/>
      <c r="Q56" s="8"/>
      <c r="R56" s="8"/>
      <c r="S56" s="8"/>
      <c r="T56" s="8"/>
      <c r="U56" s="8"/>
      <c r="V56" s="8"/>
      <c r="W56" s="8"/>
      <c r="X56" s="8"/>
      <c r="Y56" s="8"/>
      <c r="Z56" s="8"/>
      <c r="AA56" s="9"/>
    </row>
    <row r="57" spans="2:27" ht="21.6" customHeight="1">
      <c r="B57" s="7"/>
      <c r="C57" s="19"/>
      <c r="D57" s="19"/>
      <c r="E57" s="19"/>
      <c r="F57" s="19"/>
      <c r="G57" s="19"/>
      <c r="H57" s="19"/>
      <c r="I57" s="19"/>
      <c r="J57" s="19"/>
      <c r="K57" s="19"/>
      <c r="L57" s="19"/>
      <c r="M57" s="19"/>
      <c r="N57" s="9"/>
      <c r="O57" s="7"/>
      <c r="P57" s="19"/>
      <c r="Q57" s="19"/>
      <c r="R57" s="19"/>
      <c r="S57" s="19"/>
      <c r="T57" s="19"/>
      <c r="U57" s="19"/>
      <c r="V57" s="19"/>
      <c r="W57" s="19"/>
      <c r="X57" s="19"/>
      <c r="Y57" s="19"/>
      <c r="Z57" s="19"/>
      <c r="AA57" s="9"/>
    </row>
    <row r="58" spans="2:27" ht="21.6" customHeight="1">
      <c r="B58" s="7"/>
      <c r="C58" s="19"/>
      <c r="D58" s="19"/>
      <c r="E58" s="19"/>
      <c r="F58" s="19"/>
      <c r="G58" s="19"/>
      <c r="H58" s="19"/>
      <c r="I58" s="19"/>
      <c r="J58" s="19"/>
      <c r="K58" s="19"/>
      <c r="L58" s="19"/>
      <c r="M58" s="19"/>
      <c r="N58" s="9"/>
      <c r="O58" s="7"/>
      <c r="P58" s="19"/>
      <c r="Q58" s="19"/>
      <c r="R58" s="19"/>
      <c r="S58" s="19"/>
      <c r="T58" s="19"/>
      <c r="U58" s="19"/>
      <c r="V58" s="19"/>
      <c r="W58" s="19"/>
      <c r="X58" s="19"/>
      <c r="Y58" s="19"/>
      <c r="Z58" s="19"/>
      <c r="AA58" s="9"/>
    </row>
    <row r="59" spans="2:27" ht="22.7" customHeight="1">
      <c r="B59" s="7"/>
      <c r="C59" s="19"/>
      <c r="D59" s="19"/>
      <c r="E59" s="19"/>
      <c r="F59" s="19"/>
      <c r="G59" s="19"/>
      <c r="H59" s="19"/>
      <c r="I59" s="19"/>
      <c r="J59" s="19"/>
      <c r="K59" s="19"/>
      <c r="L59" s="19"/>
      <c r="M59" s="19"/>
      <c r="N59" s="9"/>
      <c r="O59" s="7"/>
      <c r="P59" s="19"/>
      <c r="Q59" s="19"/>
      <c r="R59" s="19"/>
      <c r="S59" s="19"/>
      <c r="T59" s="19"/>
      <c r="U59" s="19"/>
      <c r="V59" s="19"/>
      <c r="W59" s="19"/>
      <c r="X59" s="19"/>
      <c r="Y59" s="19"/>
      <c r="Z59" s="19"/>
      <c r="AA59" s="9"/>
    </row>
    <row r="60" spans="2:27" ht="22.7" customHeight="1">
      <c r="B60" s="7"/>
      <c r="C60" s="19"/>
      <c r="D60" s="19"/>
      <c r="E60" s="19"/>
      <c r="F60" s="19"/>
      <c r="G60" s="19"/>
      <c r="H60" s="19"/>
      <c r="I60" s="19"/>
      <c r="J60" s="19"/>
      <c r="K60" s="19"/>
      <c r="L60" s="19"/>
      <c r="M60" s="19"/>
      <c r="N60" s="9"/>
      <c r="O60" s="7"/>
      <c r="P60" s="19"/>
      <c r="Q60" s="19"/>
      <c r="R60" s="19"/>
      <c r="S60" s="19"/>
      <c r="T60" s="19"/>
      <c r="U60" s="19"/>
      <c r="V60" s="19"/>
      <c r="W60" s="19"/>
      <c r="X60" s="19"/>
      <c r="Y60" s="19"/>
      <c r="Z60" s="19"/>
      <c r="AA60" s="9"/>
    </row>
    <row r="61" spans="2:27" ht="22.7" customHeight="1">
      <c r="B61" s="7"/>
      <c r="C61" s="19"/>
      <c r="D61" s="19"/>
      <c r="E61" s="19"/>
      <c r="F61" s="19"/>
      <c r="G61" s="19"/>
      <c r="H61" s="19"/>
      <c r="I61" s="19"/>
      <c r="J61" s="19"/>
      <c r="K61" s="19"/>
      <c r="L61" s="19"/>
      <c r="M61" s="19"/>
      <c r="N61" s="9"/>
      <c r="O61" s="7"/>
      <c r="P61" s="19"/>
      <c r="Q61" s="19"/>
      <c r="R61" s="19"/>
      <c r="S61" s="19"/>
      <c r="T61" s="19"/>
      <c r="U61" s="19"/>
      <c r="V61" s="19"/>
      <c r="W61" s="19"/>
      <c r="X61" s="19"/>
      <c r="Y61" s="19"/>
      <c r="Z61" s="19"/>
      <c r="AA61" s="9"/>
    </row>
    <row r="62" spans="2:27" ht="22.7" customHeight="1">
      <c r="B62" s="7"/>
      <c r="C62" s="19"/>
      <c r="D62" s="19"/>
      <c r="E62" s="19"/>
      <c r="F62" s="19"/>
      <c r="G62" s="19"/>
      <c r="H62" s="19"/>
      <c r="I62" s="19"/>
      <c r="J62" s="19"/>
      <c r="K62" s="19"/>
      <c r="L62" s="19"/>
      <c r="M62" s="19"/>
      <c r="N62" s="9"/>
      <c r="O62" s="7"/>
      <c r="P62" s="19"/>
      <c r="Q62" s="19"/>
      <c r="R62" s="19"/>
      <c r="S62" s="19"/>
      <c r="T62" s="19"/>
      <c r="U62" s="19"/>
      <c r="V62" s="19"/>
      <c r="W62" s="19"/>
      <c r="X62" s="19"/>
      <c r="Y62" s="19"/>
      <c r="Z62" s="19"/>
      <c r="AA62" s="9"/>
    </row>
    <row r="63" spans="2:27" ht="22.7" customHeight="1">
      <c r="B63" s="17">
        <v>7.0000000000000007E-2</v>
      </c>
      <c r="C63" s="19"/>
      <c r="D63" s="19"/>
      <c r="E63" s="19"/>
      <c r="F63" s="19"/>
      <c r="G63" s="19"/>
      <c r="H63" s="19"/>
      <c r="I63" s="19"/>
      <c r="J63" s="19"/>
      <c r="K63" s="19"/>
      <c r="L63" s="19"/>
      <c r="M63" s="19"/>
      <c r="N63" s="9"/>
      <c r="O63" s="17">
        <v>7.0000000000000007E-2</v>
      </c>
      <c r="P63" s="19"/>
      <c r="Q63" s="19"/>
      <c r="R63" s="19"/>
      <c r="S63" s="19"/>
      <c r="T63" s="19"/>
      <c r="U63" s="19"/>
      <c r="V63" s="19"/>
      <c r="W63" s="19"/>
      <c r="X63" s="19"/>
      <c r="Y63" s="19"/>
      <c r="Z63" s="19"/>
      <c r="AA63" s="9"/>
    </row>
    <row r="64" spans="2:27" ht="22.7" customHeight="1">
      <c r="B64" s="7"/>
      <c r="C64" s="19"/>
      <c r="D64" s="19"/>
      <c r="E64" s="19"/>
      <c r="F64" s="19"/>
      <c r="G64" s="19"/>
      <c r="H64" s="19"/>
      <c r="I64" s="19"/>
      <c r="J64" s="19"/>
      <c r="K64" s="19"/>
      <c r="L64" s="19"/>
      <c r="M64" s="19"/>
      <c r="N64" s="9"/>
      <c r="O64" s="7"/>
      <c r="P64" s="19"/>
      <c r="Q64" s="19"/>
      <c r="R64" s="19"/>
      <c r="S64" s="19"/>
      <c r="T64" s="19"/>
      <c r="U64" s="19"/>
      <c r="V64" s="19"/>
      <c r="W64" s="19"/>
      <c r="X64" s="19"/>
      <c r="Y64" s="19"/>
      <c r="Z64" s="19"/>
      <c r="AA64" s="9"/>
    </row>
    <row r="65" spans="2:27" ht="22.7" customHeight="1">
      <c r="B65" s="7"/>
      <c r="C65" s="19"/>
      <c r="D65" s="19"/>
      <c r="E65" s="19"/>
      <c r="F65" s="19"/>
      <c r="G65" s="19"/>
      <c r="H65" s="19"/>
      <c r="I65" s="19"/>
      <c r="J65" s="19"/>
      <c r="K65" s="19"/>
      <c r="L65" s="19"/>
      <c r="M65" s="19"/>
      <c r="N65" s="9"/>
      <c r="O65" s="7"/>
      <c r="P65" s="19"/>
      <c r="Q65" s="19"/>
      <c r="R65" s="19"/>
      <c r="S65" s="19"/>
      <c r="T65" s="19"/>
      <c r="U65" s="19"/>
      <c r="V65" s="19"/>
      <c r="W65" s="19"/>
      <c r="X65" s="19"/>
      <c r="Y65" s="19"/>
      <c r="Z65" s="19"/>
      <c r="AA65" s="9"/>
    </row>
    <row r="66" spans="2:27" ht="22.7" customHeight="1">
      <c r="B66" s="7"/>
      <c r="C66" s="8"/>
      <c r="D66" s="8"/>
      <c r="E66" s="8"/>
      <c r="F66" s="8"/>
      <c r="G66" s="8"/>
      <c r="H66" s="8"/>
      <c r="I66" s="8"/>
      <c r="J66" s="8"/>
      <c r="K66" s="8"/>
      <c r="L66" s="8"/>
      <c r="M66" s="8"/>
      <c r="N66" s="9"/>
      <c r="O66" s="7"/>
      <c r="P66" s="8"/>
      <c r="Q66" s="8"/>
      <c r="R66" s="8"/>
      <c r="S66" s="8"/>
      <c r="T66" s="8"/>
      <c r="U66" s="8"/>
      <c r="V66" s="8"/>
      <c r="W66" s="8"/>
      <c r="X66" s="8"/>
      <c r="Y66" s="8"/>
      <c r="Z66" s="8"/>
      <c r="AA66" s="9"/>
    </row>
    <row r="67" spans="2:27" ht="22.7" customHeight="1">
      <c r="B67" s="10"/>
      <c r="C67" s="11"/>
      <c r="D67" s="11"/>
      <c r="E67" s="11"/>
      <c r="F67" s="11"/>
      <c r="G67" s="11"/>
      <c r="H67" s="11"/>
      <c r="I67" s="11"/>
      <c r="J67" s="11"/>
      <c r="K67" s="11"/>
      <c r="L67" s="11"/>
      <c r="M67" s="11"/>
      <c r="N67" s="12"/>
      <c r="O67" s="10"/>
      <c r="P67" s="11"/>
      <c r="Q67" s="11"/>
      <c r="R67" s="11"/>
      <c r="S67" s="11"/>
      <c r="T67" s="11"/>
      <c r="U67" s="11"/>
      <c r="V67" s="11"/>
      <c r="W67" s="11"/>
      <c r="X67" s="11"/>
      <c r="Y67" s="11"/>
      <c r="Z67" s="11"/>
      <c r="AA67" s="12"/>
    </row>
    <row r="68" spans="2:27" ht="22.7" customHeight="1"/>
    <row r="69" spans="2:27" ht="22.7" customHeight="1"/>
    <row r="70" spans="2:27" ht="22.7" customHeight="1"/>
    <row r="71" spans="2:27" ht="22.7" customHeight="1"/>
    <row r="72" spans="2:27" ht="22.7" customHeight="1">
      <c r="I72" s="4"/>
      <c r="J72" s="5"/>
      <c r="K72" s="5"/>
      <c r="L72" s="5"/>
      <c r="M72" s="5"/>
      <c r="N72" s="5"/>
      <c r="O72" s="5"/>
      <c r="P72" s="5"/>
      <c r="Q72" s="5"/>
      <c r="R72" s="5"/>
      <c r="S72" s="5"/>
      <c r="T72" s="5"/>
      <c r="U72" s="6"/>
    </row>
    <row r="73" spans="2:27" ht="22.7" customHeight="1">
      <c r="I73" s="7"/>
      <c r="J73" s="8"/>
      <c r="K73" s="8"/>
      <c r="L73" s="8"/>
      <c r="M73" s="8"/>
      <c r="N73" s="8"/>
      <c r="O73" s="8"/>
      <c r="P73" s="8"/>
      <c r="Q73" s="8"/>
      <c r="R73" s="8"/>
      <c r="S73" s="8"/>
      <c r="T73" s="8"/>
      <c r="U73" s="9"/>
    </row>
    <row r="74" spans="2:27" ht="22.7" customHeight="1">
      <c r="I74" s="7"/>
      <c r="J74" s="8"/>
      <c r="K74" s="8"/>
      <c r="L74" s="8"/>
      <c r="M74" s="8"/>
      <c r="N74" s="8"/>
      <c r="O74" s="8"/>
      <c r="P74" s="8"/>
      <c r="Q74" s="8"/>
      <c r="R74" s="8"/>
      <c r="S74" s="8"/>
      <c r="T74" s="8"/>
      <c r="U74" s="9"/>
    </row>
    <row r="75" spans="2:27" ht="22.7" customHeight="1">
      <c r="I75" s="7"/>
      <c r="J75" s="96" t="s">
        <v>37</v>
      </c>
      <c r="K75" s="96"/>
      <c r="L75" s="96"/>
      <c r="M75" s="96"/>
      <c r="N75" s="96"/>
      <c r="O75" s="96"/>
      <c r="P75" s="96"/>
      <c r="Q75" s="96"/>
      <c r="R75" s="96"/>
      <c r="S75" s="96"/>
      <c r="T75" s="96"/>
      <c r="U75" s="9"/>
    </row>
    <row r="76" spans="2:27" ht="22.7" customHeight="1">
      <c r="I76" s="7"/>
      <c r="J76" s="96"/>
      <c r="K76" s="96"/>
      <c r="L76" s="96"/>
      <c r="M76" s="96"/>
      <c r="N76" s="96"/>
      <c r="O76" s="96"/>
      <c r="P76" s="96"/>
      <c r="Q76" s="96"/>
      <c r="R76" s="96"/>
      <c r="S76" s="96"/>
      <c r="T76" s="96"/>
      <c r="U76" s="9"/>
    </row>
    <row r="77" spans="2:27" ht="22.7" customHeight="1">
      <c r="I77" s="7"/>
      <c r="J77" s="96"/>
      <c r="K77" s="96"/>
      <c r="L77" s="96"/>
      <c r="M77" s="96"/>
      <c r="N77" s="96"/>
      <c r="O77" s="96"/>
      <c r="P77" s="96"/>
      <c r="Q77" s="96"/>
      <c r="R77" s="96"/>
      <c r="S77" s="96"/>
      <c r="T77" s="96"/>
      <c r="U77" s="9"/>
    </row>
    <row r="78" spans="2:27" ht="22.7" customHeight="1">
      <c r="I78" s="7"/>
      <c r="J78" s="109">
        <f>'Financial Statements'!I24</f>
        <v>5.4196155526430756</v>
      </c>
      <c r="K78" s="109"/>
      <c r="L78" s="109"/>
      <c r="M78" s="14"/>
      <c r="N78" s="8"/>
      <c r="O78" s="8"/>
      <c r="P78" s="8"/>
      <c r="Q78" s="8"/>
      <c r="R78" s="8"/>
      <c r="S78" s="8"/>
      <c r="T78" s="8"/>
      <c r="U78" s="9"/>
    </row>
    <row r="79" spans="2:27" ht="22.7" customHeight="1">
      <c r="I79" s="7"/>
      <c r="J79" s="109"/>
      <c r="K79" s="109"/>
      <c r="L79" s="109"/>
      <c r="M79" s="14"/>
      <c r="N79" s="8"/>
      <c r="O79" s="8"/>
      <c r="P79" s="8"/>
      <c r="Q79" s="8"/>
      <c r="R79" s="8"/>
      <c r="S79" s="8"/>
      <c r="T79" s="8"/>
      <c r="U79" s="9"/>
    </row>
    <row r="80" spans="2:27" ht="22.7" customHeight="1">
      <c r="I80" s="7"/>
      <c r="J80" s="109"/>
      <c r="K80" s="109"/>
      <c r="L80" s="109"/>
      <c r="M80" s="14"/>
      <c r="N80" s="8"/>
      <c r="O80" s="8"/>
      <c r="P80" s="8"/>
      <c r="Q80" s="8"/>
      <c r="R80" s="8"/>
      <c r="S80" s="8"/>
      <c r="T80" s="8"/>
      <c r="U80" s="9"/>
    </row>
    <row r="81" spans="9:21" ht="22.7" customHeight="1">
      <c r="I81" s="17">
        <v>0.13</v>
      </c>
      <c r="J81" s="15" t="str">
        <f>IF(I81&gt;0,"+"&amp;I81,I81)&amp;"% vs 2021"</f>
        <v>+0,13% vs 2021</v>
      </c>
      <c r="K81" s="16"/>
      <c r="L81" s="16"/>
      <c r="M81" s="16"/>
      <c r="N81" s="16"/>
      <c r="O81" s="16"/>
      <c r="P81" s="16"/>
      <c r="Q81" s="16"/>
      <c r="R81" s="16"/>
      <c r="S81" s="16"/>
      <c r="T81" s="16"/>
      <c r="U81" s="9"/>
    </row>
    <row r="82" spans="9:21" ht="22.7" customHeight="1">
      <c r="I82" s="7"/>
      <c r="J82" s="14"/>
      <c r="K82" s="14"/>
      <c r="L82" s="14"/>
      <c r="M82" s="14"/>
      <c r="N82" s="8"/>
      <c r="O82" s="8"/>
      <c r="P82" s="8"/>
      <c r="Q82" s="8"/>
      <c r="R82" s="8"/>
      <c r="S82" s="8"/>
      <c r="T82" s="8"/>
      <c r="U82" s="9"/>
    </row>
    <row r="83" spans="9:21" ht="22.7" customHeight="1">
      <c r="I83" s="7"/>
      <c r="J83" s="95"/>
      <c r="K83" s="95"/>
      <c r="L83" s="95"/>
      <c r="M83" s="95"/>
      <c r="N83" s="95"/>
      <c r="O83" s="95"/>
      <c r="P83" s="95"/>
      <c r="Q83" s="95"/>
      <c r="R83" s="95"/>
      <c r="S83" s="95"/>
      <c r="T83" s="95"/>
      <c r="U83" s="9"/>
    </row>
    <row r="84" spans="9:21" ht="22.7" customHeight="1">
      <c r="I84" s="7"/>
      <c r="J84" s="8"/>
      <c r="K84" s="8"/>
      <c r="L84" s="8"/>
      <c r="M84" s="8"/>
      <c r="N84" s="8"/>
      <c r="O84" s="8"/>
      <c r="P84" s="8"/>
      <c r="Q84" s="8"/>
      <c r="R84" s="8"/>
      <c r="S84" s="8"/>
      <c r="T84" s="8"/>
      <c r="U84" s="9"/>
    </row>
    <row r="85" spans="9:21" ht="22.7" customHeight="1">
      <c r="I85" s="10"/>
      <c r="J85" s="11"/>
      <c r="K85" s="11"/>
      <c r="L85" s="11"/>
      <c r="M85" s="11"/>
      <c r="N85" s="11"/>
      <c r="O85" s="11"/>
      <c r="P85" s="11"/>
      <c r="Q85" s="11"/>
      <c r="R85" s="11"/>
      <c r="S85" s="11"/>
      <c r="T85" s="11"/>
      <c r="U85" s="12"/>
    </row>
    <row r="86" spans="9:21" ht="22.7" customHeight="1">
      <c r="I86" s="4"/>
      <c r="J86" s="5"/>
      <c r="K86" s="5"/>
      <c r="L86" s="5"/>
      <c r="M86" s="5"/>
      <c r="N86" s="5"/>
      <c r="O86" s="5"/>
      <c r="P86" s="5"/>
      <c r="Q86" s="5"/>
      <c r="R86" s="5"/>
      <c r="S86" s="5"/>
      <c r="T86" s="5"/>
      <c r="U86" s="6"/>
    </row>
    <row r="87" spans="9:21" ht="22.7" customHeight="1">
      <c r="I87" s="7"/>
      <c r="J87" s="8"/>
      <c r="K87" s="8"/>
      <c r="L87" s="8"/>
      <c r="M87" s="8"/>
      <c r="N87" s="8"/>
      <c r="O87" s="8"/>
      <c r="P87" s="8"/>
      <c r="Q87" s="8"/>
      <c r="R87" s="8"/>
      <c r="S87" s="8"/>
      <c r="T87" s="8"/>
      <c r="U87" s="9"/>
    </row>
    <row r="88" spans="9:21" ht="22.7" customHeight="1">
      <c r="I88" s="7"/>
      <c r="J88" s="8"/>
      <c r="K88" s="8"/>
      <c r="L88" s="8"/>
      <c r="M88" s="8"/>
      <c r="N88" s="8"/>
      <c r="O88" s="8"/>
      <c r="P88" s="8"/>
      <c r="Q88" s="8"/>
      <c r="R88" s="8"/>
      <c r="S88" s="8"/>
      <c r="T88" s="8"/>
      <c r="U88" s="9"/>
    </row>
    <row r="89" spans="9:21" ht="22.7" customHeight="1">
      <c r="I89" s="7"/>
      <c r="J89" s="19"/>
      <c r="K89" s="19"/>
      <c r="L89" s="19"/>
      <c r="M89" s="19"/>
      <c r="N89" s="19"/>
      <c r="O89" s="19"/>
      <c r="P89" s="19"/>
      <c r="Q89" s="19"/>
      <c r="R89" s="19"/>
      <c r="S89" s="19"/>
      <c r="T89" s="19"/>
      <c r="U89" s="9"/>
    </row>
    <row r="90" spans="9:21" ht="22.7" customHeight="1">
      <c r="I90" s="7"/>
      <c r="J90" s="19"/>
      <c r="K90" s="19"/>
      <c r="L90" s="19"/>
      <c r="M90" s="19"/>
      <c r="N90" s="19"/>
      <c r="O90" s="19"/>
      <c r="P90" s="19"/>
      <c r="Q90" s="19"/>
      <c r="R90" s="19"/>
      <c r="S90" s="19"/>
      <c r="T90" s="19"/>
      <c r="U90" s="9"/>
    </row>
    <row r="91" spans="9:21" ht="22.7" customHeight="1">
      <c r="I91" s="7"/>
      <c r="J91" s="19"/>
      <c r="K91" s="19"/>
      <c r="L91" s="19"/>
      <c r="M91" s="19"/>
      <c r="N91" s="19"/>
      <c r="O91" s="19"/>
      <c r="P91" s="19"/>
      <c r="Q91" s="19"/>
      <c r="R91" s="19"/>
      <c r="S91" s="19"/>
      <c r="T91" s="19"/>
      <c r="U91" s="9"/>
    </row>
    <row r="92" spans="9:21" ht="22.7" customHeight="1">
      <c r="I92" s="7"/>
      <c r="J92" s="19"/>
      <c r="K92" s="19"/>
      <c r="L92" s="19"/>
      <c r="M92" s="19"/>
      <c r="N92" s="19"/>
      <c r="O92" s="19"/>
      <c r="P92" s="19"/>
      <c r="Q92" s="19"/>
      <c r="R92" s="19"/>
      <c r="S92" s="19"/>
      <c r="T92" s="19"/>
      <c r="U92" s="9"/>
    </row>
    <row r="93" spans="9:21" ht="22.7" customHeight="1">
      <c r="I93" s="7"/>
      <c r="J93" s="19"/>
      <c r="K93" s="19"/>
      <c r="L93" s="19"/>
      <c r="M93" s="19"/>
      <c r="N93" s="19"/>
      <c r="O93" s="19"/>
      <c r="P93" s="19"/>
      <c r="Q93" s="19"/>
      <c r="R93" s="19"/>
      <c r="S93" s="19"/>
      <c r="T93" s="19"/>
      <c r="U93" s="9"/>
    </row>
    <row r="94" spans="9:21" ht="22.7" customHeight="1">
      <c r="I94" s="7"/>
      <c r="J94" s="19"/>
      <c r="K94" s="19"/>
      <c r="L94" s="19"/>
      <c r="M94" s="19"/>
      <c r="N94" s="19"/>
      <c r="O94" s="19"/>
      <c r="P94" s="19"/>
      <c r="Q94" s="19"/>
      <c r="R94" s="19"/>
      <c r="S94" s="19"/>
      <c r="T94" s="19"/>
      <c r="U94" s="9"/>
    </row>
    <row r="95" spans="9:21" ht="22.7" customHeight="1">
      <c r="I95" s="17">
        <v>7.0000000000000007E-2</v>
      </c>
      <c r="J95" s="19"/>
      <c r="K95" s="19"/>
      <c r="L95" s="19"/>
      <c r="M95" s="19"/>
      <c r="N95" s="19"/>
      <c r="O95" s="19"/>
      <c r="P95" s="19"/>
      <c r="Q95" s="19"/>
      <c r="R95" s="19"/>
      <c r="S95" s="19"/>
      <c r="T95" s="19"/>
      <c r="U95" s="9"/>
    </row>
    <row r="96" spans="9:21" ht="22.7" customHeight="1">
      <c r="I96" s="7"/>
      <c r="J96" s="19"/>
      <c r="K96" s="19"/>
      <c r="L96" s="19"/>
      <c r="M96" s="19"/>
      <c r="N96" s="19"/>
      <c r="O96" s="19"/>
      <c r="P96" s="19"/>
      <c r="Q96" s="19"/>
      <c r="R96" s="19"/>
      <c r="S96" s="19"/>
      <c r="T96" s="19"/>
      <c r="U96" s="9"/>
    </row>
    <row r="97" spans="9:21" ht="22.7" customHeight="1">
      <c r="I97" s="7"/>
      <c r="J97" s="19"/>
      <c r="K97" s="19"/>
      <c r="L97" s="19"/>
      <c r="M97" s="19"/>
      <c r="N97" s="19"/>
      <c r="O97" s="19"/>
      <c r="P97" s="19"/>
      <c r="Q97" s="19"/>
      <c r="R97" s="19"/>
      <c r="S97" s="19"/>
      <c r="T97" s="19"/>
      <c r="U97" s="9"/>
    </row>
    <row r="98" spans="9:21" ht="22.7" customHeight="1">
      <c r="I98" s="7"/>
      <c r="J98" s="8"/>
      <c r="K98" s="8"/>
      <c r="L98" s="8"/>
      <c r="M98" s="8"/>
      <c r="N98" s="8"/>
      <c r="O98" s="8"/>
      <c r="P98" s="8"/>
      <c r="Q98" s="8"/>
      <c r="R98" s="8"/>
      <c r="S98" s="8"/>
      <c r="T98" s="8"/>
      <c r="U98" s="9"/>
    </row>
    <row r="99" spans="9:21" ht="22.7" customHeight="1">
      <c r="I99" s="10"/>
      <c r="J99" s="11"/>
      <c r="K99" s="11"/>
      <c r="L99" s="11"/>
      <c r="M99" s="11"/>
      <c r="N99" s="11"/>
      <c r="O99" s="11"/>
      <c r="P99" s="11"/>
      <c r="Q99" s="11"/>
      <c r="R99" s="11"/>
      <c r="S99" s="11"/>
      <c r="T99" s="11"/>
      <c r="U99" s="12"/>
    </row>
  </sheetData>
  <mergeCells count="15">
    <mergeCell ref="C15:M17"/>
    <mergeCell ref="P15:Z17"/>
    <mergeCell ref="C18:M20"/>
    <mergeCell ref="P18:Z20"/>
    <mergeCell ref="C46:E48"/>
    <mergeCell ref="P46:R48"/>
    <mergeCell ref="C43:M45"/>
    <mergeCell ref="P43:Z45"/>
    <mergeCell ref="J75:T77"/>
    <mergeCell ref="J78:L80"/>
    <mergeCell ref="J83:T83"/>
    <mergeCell ref="C23:M23"/>
    <mergeCell ref="P23:Z23"/>
    <mergeCell ref="C51:M51"/>
    <mergeCell ref="P51:Z51"/>
  </mergeCells>
  <conditionalFormatting sqref="C23">
    <cfRule type="expression" dxfId="115" priority="21">
      <formula>30&gt;=$C$18</formula>
    </cfRule>
    <cfRule type="expression" dxfId="114" priority="22">
      <formula>AND(30&lt;=$C$18,$C$18&lt;40)</formula>
    </cfRule>
    <cfRule type="expression" dxfId="113" priority="23">
      <formula>AND(40&lt;=$C$18,$C$18&lt;60)</formula>
    </cfRule>
    <cfRule type="expression" dxfId="112" priority="24">
      <formula>$C$18&gt;60</formula>
    </cfRule>
  </conditionalFormatting>
  <conditionalFormatting sqref="C51">
    <cfRule type="expression" dxfId="111" priority="13">
      <formula>60&lt;=$C$46</formula>
    </cfRule>
    <cfRule type="expression" dxfId="110" priority="14">
      <formula>AND(40&lt;=$C$46,$C$46&lt;60)</formula>
    </cfRule>
    <cfRule type="expression" dxfId="109" priority="15">
      <formula>AND(30&lt;=$C$46,$C$46&lt;40)</formula>
    </cfRule>
    <cfRule type="expression" dxfId="108" priority="16">
      <formula>$C$46&lt;30</formula>
    </cfRule>
  </conditionalFormatting>
  <conditionalFormatting sqref="J83">
    <cfRule type="expression" dxfId="107" priority="5">
      <formula>2&lt;=$J$78</formula>
    </cfRule>
    <cfRule type="expression" dxfId="106" priority="6">
      <formula>AND(1&lt;=$J$78,$J$78&lt;2)</formula>
    </cfRule>
    <cfRule type="expression" dxfId="105" priority="7">
      <formula>AND(0.5&lt;=$J$78,$J$78&lt;1)</formula>
    </cfRule>
    <cfRule type="expression" dxfId="104" priority="8">
      <formula>$J$78&lt;0.5</formula>
    </cfRule>
  </conditionalFormatting>
  <conditionalFormatting sqref="P23">
    <cfRule type="expression" dxfId="103" priority="1">
      <formula>30&gt;=$P$18</formula>
    </cfRule>
    <cfRule type="expression" dxfId="102" priority="2">
      <formula>AND(30&lt;=$P$18,$P$18&lt;40)</formula>
    </cfRule>
    <cfRule type="expression" dxfId="101" priority="3">
      <formula>AND(40&lt;=$P$18,$P$18&lt;60)</formula>
    </cfRule>
    <cfRule type="expression" dxfId="100" priority="4">
      <formula>$P$18&gt;60</formula>
    </cfRule>
  </conditionalFormatting>
  <conditionalFormatting sqref="P51">
    <cfRule type="expression" dxfId="99" priority="9">
      <formula>0&gt;=$P$46</formula>
    </cfRule>
    <cfRule type="expression" dxfId="98" priority="10">
      <formula>AND(0&lt;=$P$46,$P$46&lt;30)</formula>
    </cfRule>
    <cfRule type="expression" dxfId="97" priority="11">
      <formula>AND(30&lt;=$P$46,$P$46&lt;90)</formula>
    </cfRule>
    <cfRule type="expression" dxfId="96" priority="12">
      <formula>$P$46&gt;90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E11F-EAF3-41B4-9FD8-4FB2BD5DBC0C}">
  <dimension ref="A1:AB88"/>
  <sheetViews>
    <sheetView tabSelected="1" zoomScale="40" zoomScaleNormal="40" workbookViewId="0"/>
  </sheetViews>
  <sheetFormatPr defaultColWidth="0" defaultRowHeight="14.45" customHeight="1" zeroHeight="1"/>
  <cols>
    <col min="1"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5"/>
    <row r="12" spans="2:27" ht="21.6"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21.6" customHeight="1">
      <c r="B15" s="7"/>
      <c r="C15" s="96" t="s">
        <v>38</v>
      </c>
      <c r="D15" s="96"/>
      <c r="E15" s="96"/>
      <c r="F15" s="96"/>
      <c r="G15" s="96"/>
      <c r="H15" s="96"/>
      <c r="I15" s="96"/>
      <c r="J15" s="96"/>
      <c r="K15" s="96"/>
      <c r="L15" s="96"/>
      <c r="M15" s="96"/>
      <c r="N15" s="9"/>
      <c r="O15" s="7"/>
      <c r="P15" s="96" t="s">
        <v>39</v>
      </c>
      <c r="Q15" s="96"/>
      <c r="R15" s="96"/>
      <c r="S15" s="96"/>
      <c r="T15" s="96"/>
      <c r="U15" s="96"/>
      <c r="V15" s="96"/>
      <c r="W15" s="96"/>
      <c r="X15" s="96"/>
      <c r="Y15" s="96"/>
      <c r="Z15" s="96"/>
      <c r="AA15" s="9"/>
    </row>
    <row r="16" spans="2:27" ht="21.6" customHeight="1">
      <c r="B16" s="7"/>
      <c r="C16" s="96"/>
      <c r="D16" s="96"/>
      <c r="E16" s="96"/>
      <c r="F16" s="96"/>
      <c r="G16" s="96"/>
      <c r="H16" s="96"/>
      <c r="I16" s="96"/>
      <c r="J16" s="96"/>
      <c r="K16" s="96"/>
      <c r="L16" s="96"/>
      <c r="M16" s="96"/>
      <c r="N16" s="9"/>
      <c r="O16" s="7"/>
      <c r="P16" s="96"/>
      <c r="Q16" s="96"/>
      <c r="R16" s="96"/>
      <c r="S16" s="96"/>
      <c r="T16" s="96"/>
      <c r="U16" s="96"/>
      <c r="V16" s="96"/>
      <c r="W16" s="96"/>
      <c r="X16" s="96"/>
      <c r="Y16" s="96"/>
      <c r="Z16" s="96"/>
      <c r="AA16" s="9"/>
    </row>
    <row r="17" spans="2:27" ht="21.6" customHeight="1">
      <c r="B17" s="7"/>
      <c r="C17" s="96"/>
      <c r="D17" s="96"/>
      <c r="E17" s="96"/>
      <c r="F17" s="96"/>
      <c r="G17" s="96"/>
      <c r="H17" s="96"/>
      <c r="I17" s="96"/>
      <c r="J17" s="96"/>
      <c r="K17" s="96"/>
      <c r="L17" s="96"/>
      <c r="M17" s="96"/>
      <c r="N17" s="9"/>
      <c r="O17" s="7"/>
      <c r="P17" s="96"/>
      <c r="Q17" s="96"/>
      <c r="R17" s="96"/>
      <c r="S17" s="96"/>
      <c r="T17" s="96"/>
      <c r="U17" s="96"/>
      <c r="V17" s="96"/>
      <c r="W17" s="96"/>
      <c r="X17" s="96"/>
      <c r="Y17" s="96"/>
      <c r="Z17" s="96"/>
      <c r="AA17" s="9"/>
    </row>
    <row r="18" spans="2:27" ht="21.6" customHeight="1">
      <c r="B18" s="7"/>
      <c r="C18" s="97">
        <f>'Financial Statements'!I14</f>
        <v>0.51606142436822378</v>
      </c>
      <c r="D18" s="97"/>
      <c r="E18" s="97"/>
      <c r="F18" s="97"/>
      <c r="G18" s="97"/>
      <c r="H18" s="97"/>
      <c r="I18" s="97"/>
      <c r="J18" s="97"/>
      <c r="K18" s="97"/>
      <c r="L18" s="97"/>
      <c r="M18" s="97"/>
      <c r="N18" s="9"/>
      <c r="O18" s="7"/>
      <c r="P18" s="98">
        <f>'Financial Statements'!I15</f>
        <v>3124000</v>
      </c>
      <c r="Q18" s="98"/>
      <c r="R18" s="98"/>
      <c r="S18" s="98"/>
      <c r="T18" s="98"/>
      <c r="U18" s="98"/>
      <c r="V18" s="98"/>
      <c r="W18" s="98"/>
      <c r="X18" s="98"/>
      <c r="Y18" s="98"/>
      <c r="Z18" s="98"/>
      <c r="AA18" s="9"/>
    </row>
    <row r="19" spans="2:27" ht="21.6" customHeight="1">
      <c r="B19" s="7"/>
      <c r="C19" s="97"/>
      <c r="D19" s="97"/>
      <c r="E19" s="97"/>
      <c r="F19" s="97"/>
      <c r="G19" s="97"/>
      <c r="H19" s="97"/>
      <c r="I19" s="97"/>
      <c r="J19" s="97"/>
      <c r="K19" s="97"/>
      <c r="L19" s="97"/>
      <c r="M19" s="97"/>
      <c r="N19" s="9"/>
      <c r="O19" s="7"/>
      <c r="P19" s="98"/>
      <c r="Q19" s="98"/>
      <c r="R19" s="98"/>
      <c r="S19" s="98"/>
      <c r="T19" s="98"/>
      <c r="U19" s="98"/>
      <c r="V19" s="98"/>
      <c r="W19" s="98"/>
      <c r="X19" s="98"/>
      <c r="Y19" s="98"/>
      <c r="Z19" s="98"/>
      <c r="AA19" s="9"/>
    </row>
    <row r="20" spans="2:27" ht="21.6" customHeight="1">
      <c r="B20" s="7"/>
      <c r="C20" s="97"/>
      <c r="D20" s="97"/>
      <c r="E20" s="97"/>
      <c r="F20" s="97"/>
      <c r="G20" s="97"/>
      <c r="H20" s="97"/>
      <c r="I20" s="97"/>
      <c r="J20" s="97"/>
      <c r="K20" s="97"/>
      <c r="L20" s="97"/>
      <c r="M20" s="97"/>
      <c r="N20" s="9"/>
      <c r="O20" s="7"/>
      <c r="P20" s="98"/>
      <c r="Q20" s="98"/>
      <c r="R20" s="98"/>
      <c r="S20" s="98"/>
      <c r="T20" s="98"/>
      <c r="U20" s="98"/>
      <c r="V20" s="98"/>
      <c r="W20" s="98"/>
      <c r="X20" s="98"/>
      <c r="Y20" s="98"/>
      <c r="Z20" s="98"/>
      <c r="AA20" s="9"/>
    </row>
    <row r="21" spans="2:27" ht="21.6" customHeight="1">
      <c r="B21" s="17">
        <v>1.4E-2</v>
      </c>
      <c r="C21" s="15" t="str">
        <f>IF(B21&gt;0,"+"&amp;B21,B21)&amp;"% vs 2021"</f>
        <v>+0,014% vs 2021</v>
      </c>
      <c r="D21" s="16"/>
      <c r="E21" s="16"/>
      <c r="F21" s="16"/>
      <c r="G21" s="16"/>
      <c r="H21" s="16"/>
      <c r="I21" s="16"/>
      <c r="J21" s="16"/>
      <c r="K21" s="16"/>
      <c r="L21" s="16"/>
      <c r="M21" s="16"/>
      <c r="N21" s="9"/>
      <c r="O21" s="17">
        <v>0.5</v>
      </c>
      <c r="P21" s="15" t="str">
        <f>IF(O21&gt;0,"+"&amp;O21,O21)&amp;"% vs 2021"</f>
        <v>+0,5% vs 2021</v>
      </c>
      <c r="Q21" s="16"/>
      <c r="R21" s="16"/>
      <c r="S21" s="16"/>
      <c r="T21" s="16"/>
      <c r="U21" s="16"/>
      <c r="V21" s="16"/>
      <c r="W21" s="16"/>
      <c r="X21" s="16"/>
      <c r="Y21" s="16"/>
      <c r="Z21" s="16"/>
      <c r="AA21" s="9"/>
    </row>
    <row r="22" spans="2:27" ht="21.6" customHeight="1">
      <c r="B22" s="17">
        <v>1E-3</v>
      </c>
      <c r="C22" s="14"/>
      <c r="D22" s="14"/>
      <c r="E22" s="14"/>
      <c r="F22" s="14"/>
      <c r="G22" s="8"/>
      <c r="H22" s="8"/>
      <c r="I22" s="8"/>
      <c r="J22" s="8"/>
      <c r="K22" s="8"/>
      <c r="L22" s="8"/>
      <c r="M22" s="8"/>
      <c r="N22" s="9"/>
      <c r="O22" s="17">
        <v>1E-3</v>
      </c>
      <c r="P22" s="14"/>
      <c r="Q22" s="14"/>
      <c r="R22" s="14"/>
      <c r="S22" s="14"/>
      <c r="T22" s="8"/>
      <c r="U22" s="8"/>
      <c r="V22" s="8"/>
      <c r="W22" s="8"/>
      <c r="X22" s="8"/>
      <c r="Y22" s="8"/>
      <c r="Z22" s="8"/>
      <c r="AA22" s="9"/>
    </row>
    <row r="23" spans="2:27" ht="21.6"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21.6"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21.6"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21.6"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21.6"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21.6"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21.6"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21.6"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21.6"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21.6"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21.6"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21.6"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21.6"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21.6"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21.6"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21.6"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21.6"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21.6" customHeight="1">
      <c r="B40" s="4"/>
      <c r="C40" s="5"/>
      <c r="D40" s="5"/>
      <c r="E40" s="5"/>
      <c r="F40" s="5"/>
      <c r="G40" s="5"/>
      <c r="H40" s="5"/>
      <c r="I40" s="5"/>
      <c r="J40" s="5"/>
      <c r="K40" s="5"/>
      <c r="L40" s="5"/>
      <c r="M40" s="5"/>
      <c r="N40" s="6"/>
      <c r="O40" s="4"/>
      <c r="P40" s="5"/>
      <c r="Q40" s="5"/>
      <c r="R40" s="5"/>
      <c r="S40" s="5"/>
      <c r="T40" s="5"/>
      <c r="U40" s="5"/>
      <c r="V40" s="5"/>
      <c r="W40" s="5"/>
      <c r="X40" s="5"/>
      <c r="Y40" s="5"/>
      <c r="Z40" s="5"/>
      <c r="AA40" s="6"/>
    </row>
    <row r="41" spans="2:27" ht="21.6" customHeight="1">
      <c r="B41" s="7"/>
      <c r="C41" s="8"/>
      <c r="D41" s="8"/>
      <c r="E41" s="8"/>
      <c r="F41" s="8"/>
      <c r="G41" s="8"/>
      <c r="H41" s="8"/>
      <c r="I41" s="8"/>
      <c r="J41" s="8"/>
      <c r="K41" s="8"/>
      <c r="L41" s="8"/>
      <c r="M41" s="8"/>
      <c r="N41" s="9"/>
      <c r="O41" s="7"/>
      <c r="P41" s="8"/>
      <c r="Q41" s="8"/>
      <c r="R41" s="8"/>
      <c r="S41" s="8"/>
      <c r="T41" s="8"/>
      <c r="U41" s="8"/>
      <c r="V41" s="8"/>
      <c r="W41" s="8"/>
      <c r="X41" s="8"/>
      <c r="Y41" s="8"/>
      <c r="Z41" s="8"/>
      <c r="AA41" s="9"/>
    </row>
    <row r="42" spans="2:27" ht="21.6" customHeight="1">
      <c r="B42" s="7"/>
      <c r="C42" s="8"/>
      <c r="D42" s="8"/>
      <c r="E42" s="8"/>
      <c r="F42" s="8"/>
      <c r="G42" s="8"/>
      <c r="H42" s="8"/>
      <c r="I42" s="8"/>
      <c r="J42" s="8"/>
      <c r="K42" s="8"/>
      <c r="L42" s="8"/>
      <c r="M42" s="8"/>
      <c r="N42" s="9"/>
      <c r="O42" s="7"/>
      <c r="P42" s="8"/>
      <c r="Q42" s="8"/>
      <c r="R42" s="8"/>
      <c r="S42" s="8"/>
      <c r="T42" s="8"/>
      <c r="U42" s="8"/>
      <c r="V42" s="8"/>
      <c r="W42" s="8"/>
      <c r="X42" s="8"/>
      <c r="Y42" s="8"/>
      <c r="Z42" s="8"/>
      <c r="AA42" s="9"/>
    </row>
    <row r="43" spans="2:27" ht="21.6" customHeight="1">
      <c r="B43" s="7"/>
      <c r="C43" s="96" t="s">
        <v>40</v>
      </c>
      <c r="D43" s="96"/>
      <c r="E43" s="96"/>
      <c r="F43" s="96"/>
      <c r="G43" s="96"/>
      <c r="H43" s="96"/>
      <c r="I43" s="96"/>
      <c r="J43" s="96"/>
      <c r="K43" s="96"/>
      <c r="L43" s="96"/>
      <c r="M43" s="96"/>
      <c r="N43" s="9"/>
      <c r="O43" s="7"/>
      <c r="P43" s="96" t="s">
        <v>41</v>
      </c>
      <c r="Q43" s="96"/>
      <c r="R43" s="96"/>
      <c r="S43" s="96"/>
      <c r="T43" s="96"/>
      <c r="U43" s="96"/>
      <c r="V43" s="96"/>
      <c r="W43" s="96"/>
      <c r="X43" s="96"/>
      <c r="Y43" s="96"/>
      <c r="Z43" s="96"/>
      <c r="AA43" s="9"/>
    </row>
    <row r="44" spans="2:27" ht="21.6" customHeight="1">
      <c r="B44" s="7"/>
      <c r="C44" s="96"/>
      <c r="D44" s="96"/>
      <c r="E44" s="96"/>
      <c r="F44" s="96"/>
      <c r="G44" s="96"/>
      <c r="H44" s="96"/>
      <c r="I44" s="96"/>
      <c r="J44" s="96"/>
      <c r="K44" s="96"/>
      <c r="L44" s="96"/>
      <c r="M44" s="96"/>
      <c r="N44" s="9"/>
      <c r="O44" s="7"/>
      <c r="P44" s="96"/>
      <c r="Q44" s="96"/>
      <c r="R44" s="96"/>
      <c r="S44" s="96"/>
      <c r="T44" s="96"/>
      <c r="U44" s="96"/>
      <c r="V44" s="96"/>
      <c r="W44" s="96"/>
      <c r="X44" s="96"/>
      <c r="Y44" s="96"/>
      <c r="Z44" s="96"/>
      <c r="AA44" s="9"/>
    </row>
    <row r="45" spans="2:27" ht="21.6" customHeight="1">
      <c r="B45" s="7"/>
      <c r="C45" s="96"/>
      <c r="D45" s="96"/>
      <c r="E45" s="96"/>
      <c r="F45" s="96"/>
      <c r="G45" s="96"/>
      <c r="H45" s="96"/>
      <c r="I45" s="96"/>
      <c r="J45" s="96"/>
      <c r="K45" s="96"/>
      <c r="L45" s="96"/>
      <c r="M45" s="96"/>
      <c r="N45" s="9"/>
      <c r="O45" s="7"/>
      <c r="P45" s="96"/>
      <c r="Q45" s="96"/>
      <c r="R45" s="96"/>
      <c r="S45" s="96"/>
      <c r="T45" s="96"/>
      <c r="U45" s="96"/>
      <c r="V45" s="96"/>
      <c r="W45" s="96"/>
      <c r="X45" s="96"/>
      <c r="Y45" s="96"/>
      <c r="Z45" s="96"/>
      <c r="AA45" s="9"/>
    </row>
    <row r="46" spans="2:27" ht="21.6" customHeight="1">
      <c r="B46" s="7"/>
      <c r="C46" s="97">
        <f>'Financial Statements'!I16</f>
        <v>0.12591189391802024</v>
      </c>
      <c r="D46" s="97"/>
      <c r="E46" s="97"/>
      <c r="F46" s="14"/>
      <c r="G46" s="8"/>
      <c r="H46" s="8"/>
      <c r="I46" s="8"/>
      <c r="J46" s="8"/>
      <c r="K46" s="8"/>
      <c r="L46" s="8"/>
      <c r="M46" s="8"/>
      <c r="N46" s="9"/>
      <c r="O46" s="7"/>
      <c r="P46" s="99">
        <f>'Financial Statements'!I17</f>
        <v>8.3027689331344967E-2</v>
      </c>
      <c r="Q46" s="99"/>
      <c r="R46" s="99"/>
      <c r="S46" s="14"/>
      <c r="T46" s="8"/>
      <c r="U46" s="8"/>
      <c r="V46" s="8"/>
      <c r="W46" s="8"/>
      <c r="X46" s="8"/>
      <c r="Y46" s="8"/>
      <c r="Z46" s="8"/>
      <c r="AA46" s="9"/>
    </row>
    <row r="47" spans="2:27" ht="21.6" customHeight="1">
      <c r="B47" s="7"/>
      <c r="C47" s="97"/>
      <c r="D47" s="97"/>
      <c r="E47" s="97"/>
      <c r="F47" s="14"/>
      <c r="G47" s="8"/>
      <c r="H47" s="8"/>
      <c r="I47" s="8"/>
      <c r="J47" s="8"/>
      <c r="K47" s="8"/>
      <c r="L47" s="8"/>
      <c r="M47" s="8"/>
      <c r="N47" s="9"/>
      <c r="O47" s="7"/>
      <c r="P47" s="99"/>
      <c r="Q47" s="99"/>
      <c r="R47" s="99"/>
      <c r="S47" s="14"/>
      <c r="T47" s="8"/>
      <c r="U47" s="8"/>
      <c r="V47" s="8"/>
      <c r="W47" s="8"/>
      <c r="X47" s="8"/>
      <c r="Y47" s="8"/>
      <c r="Z47" s="8"/>
      <c r="AA47" s="9"/>
    </row>
    <row r="48" spans="2:27" ht="21.6" customHeight="1">
      <c r="B48" s="7"/>
      <c r="C48" s="97"/>
      <c r="D48" s="97"/>
      <c r="E48" s="97"/>
      <c r="F48" s="14"/>
      <c r="G48" s="8"/>
      <c r="H48" s="8"/>
      <c r="I48" s="8"/>
      <c r="J48" s="8"/>
      <c r="K48" s="8"/>
      <c r="L48" s="8"/>
      <c r="M48" s="8"/>
      <c r="N48" s="9"/>
      <c r="O48" s="7"/>
      <c r="P48" s="99"/>
      <c r="Q48" s="99"/>
      <c r="R48" s="99"/>
      <c r="S48" s="14"/>
      <c r="T48" s="8"/>
      <c r="U48" s="8"/>
      <c r="V48" s="8"/>
      <c r="W48" s="8"/>
      <c r="X48" s="8"/>
      <c r="Y48" s="8"/>
      <c r="Z48" s="8"/>
      <c r="AA48" s="9"/>
    </row>
    <row r="49" spans="2:27" ht="21.6" customHeight="1">
      <c r="B49" s="17">
        <v>7.0000000000000007E-2</v>
      </c>
      <c r="C49" s="15" t="str">
        <f>IF(B49&gt;0,"+"&amp;B49,B49)&amp;"% vs 2021"</f>
        <v>+0,07% vs 2021</v>
      </c>
      <c r="D49" s="16"/>
      <c r="E49" s="16"/>
      <c r="F49" s="16"/>
      <c r="G49" s="16"/>
      <c r="H49" s="16"/>
      <c r="I49" s="16"/>
      <c r="J49" s="16"/>
      <c r="K49" s="16"/>
      <c r="L49" s="16"/>
      <c r="M49" s="16"/>
      <c r="N49" s="9"/>
      <c r="O49" s="17">
        <v>7.0000000000000007E-2</v>
      </c>
      <c r="P49" s="15" t="str">
        <f>IF(O49&gt;0,"+"&amp;O49,O49)&amp;"% vs 2021"</f>
        <v>+0,07% vs 2021</v>
      </c>
      <c r="Q49" s="16"/>
      <c r="R49" s="16"/>
      <c r="S49" s="16"/>
      <c r="T49" s="16"/>
      <c r="U49" s="16"/>
      <c r="V49" s="16"/>
      <c r="W49" s="16"/>
      <c r="X49" s="16"/>
      <c r="Y49" s="16"/>
      <c r="Z49" s="16"/>
      <c r="AA49" s="9"/>
    </row>
    <row r="50" spans="2:27" ht="21.6" customHeight="1">
      <c r="B50" s="7"/>
      <c r="C50" s="14"/>
      <c r="D50" s="14"/>
      <c r="E50" s="14"/>
      <c r="F50" s="14"/>
      <c r="G50" s="8"/>
      <c r="H50" s="8"/>
      <c r="I50" s="8"/>
      <c r="J50" s="8"/>
      <c r="K50" s="8"/>
      <c r="L50" s="8"/>
      <c r="M50" s="8"/>
      <c r="N50" s="9"/>
      <c r="O50" s="7"/>
      <c r="P50" s="14"/>
      <c r="Q50" s="14"/>
      <c r="R50" s="14"/>
      <c r="S50" s="14"/>
      <c r="T50" s="8"/>
      <c r="U50" s="8"/>
      <c r="V50" s="8"/>
      <c r="W50" s="8"/>
      <c r="X50" s="8"/>
      <c r="Y50" s="8"/>
      <c r="Z50" s="8"/>
      <c r="AA50" s="9"/>
    </row>
    <row r="51" spans="2:27" ht="21.6" customHeight="1">
      <c r="B51" s="7"/>
      <c r="C51" s="95"/>
      <c r="D51" s="95"/>
      <c r="E51" s="95"/>
      <c r="F51" s="95"/>
      <c r="G51" s="95"/>
      <c r="H51" s="95"/>
      <c r="I51" s="95"/>
      <c r="J51" s="95"/>
      <c r="K51" s="95"/>
      <c r="L51" s="95"/>
      <c r="M51" s="95"/>
      <c r="N51" s="9"/>
      <c r="O51" s="7"/>
      <c r="P51" s="95"/>
      <c r="Q51" s="95"/>
      <c r="R51" s="95"/>
      <c r="S51" s="95"/>
      <c r="T51" s="95"/>
      <c r="U51" s="95"/>
      <c r="V51" s="95"/>
      <c r="W51" s="95"/>
      <c r="X51" s="95"/>
      <c r="Y51" s="95"/>
      <c r="Z51" s="95"/>
      <c r="AA51" s="9"/>
    </row>
    <row r="52" spans="2:27" ht="21.6" customHeight="1">
      <c r="B52" s="7"/>
      <c r="C52" s="8"/>
      <c r="D52" s="8"/>
      <c r="E52" s="8"/>
      <c r="F52" s="8"/>
      <c r="G52" s="8"/>
      <c r="H52" s="8"/>
      <c r="I52" s="8"/>
      <c r="J52" s="8"/>
      <c r="K52" s="8"/>
      <c r="L52" s="8"/>
      <c r="M52" s="8"/>
      <c r="N52" s="9"/>
      <c r="O52" s="7"/>
      <c r="P52" s="8"/>
      <c r="Q52" s="8"/>
      <c r="R52" s="8"/>
      <c r="S52" s="8"/>
      <c r="T52" s="8"/>
      <c r="U52" s="8"/>
      <c r="V52" s="8"/>
      <c r="W52" s="8"/>
      <c r="X52" s="8"/>
      <c r="Y52" s="8"/>
      <c r="Z52" s="8"/>
      <c r="AA52" s="9"/>
    </row>
    <row r="53" spans="2:27" ht="21.6" customHeight="1">
      <c r="B53" s="10"/>
      <c r="C53" s="11"/>
      <c r="D53" s="11"/>
      <c r="E53" s="11"/>
      <c r="F53" s="11"/>
      <c r="G53" s="11"/>
      <c r="H53" s="11"/>
      <c r="I53" s="11"/>
      <c r="J53" s="11"/>
      <c r="K53" s="11"/>
      <c r="L53" s="11"/>
      <c r="M53" s="11"/>
      <c r="N53" s="12"/>
      <c r="O53" s="10"/>
      <c r="P53" s="11"/>
      <c r="Q53" s="11"/>
      <c r="R53" s="11"/>
      <c r="S53" s="11"/>
      <c r="T53" s="11"/>
      <c r="U53" s="11"/>
      <c r="V53" s="11"/>
      <c r="W53" s="11"/>
      <c r="X53" s="11"/>
      <c r="Y53" s="11"/>
      <c r="Z53" s="11"/>
      <c r="AA53" s="12"/>
    </row>
    <row r="54" spans="2:27" ht="21.6" customHeight="1">
      <c r="B54" s="4"/>
      <c r="C54" s="5"/>
      <c r="D54" s="5"/>
      <c r="E54" s="5"/>
      <c r="F54" s="5"/>
      <c r="G54" s="5"/>
      <c r="H54" s="5"/>
      <c r="I54" s="5"/>
      <c r="J54" s="5"/>
      <c r="K54" s="5"/>
      <c r="L54" s="5"/>
      <c r="M54" s="5"/>
      <c r="N54" s="6"/>
      <c r="O54" s="4"/>
      <c r="P54" s="5"/>
      <c r="Q54" s="5"/>
      <c r="R54" s="5"/>
      <c r="S54" s="5"/>
      <c r="T54" s="5"/>
      <c r="U54" s="5"/>
      <c r="V54" s="5"/>
      <c r="W54" s="5"/>
      <c r="X54" s="5"/>
      <c r="Y54" s="5"/>
      <c r="Z54" s="5"/>
      <c r="AA54" s="6"/>
    </row>
    <row r="55" spans="2:27" ht="21.6" customHeight="1">
      <c r="B55" s="7"/>
      <c r="C55" s="8"/>
      <c r="D55" s="8"/>
      <c r="E55" s="8"/>
      <c r="F55" s="8"/>
      <c r="G55" s="8"/>
      <c r="H55" s="8"/>
      <c r="I55" s="8"/>
      <c r="J55" s="8"/>
      <c r="K55" s="8"/>
      <c r="L55" s="8"/>
      <c r="M55" s="8"/>
      <c r="N55" s="9"/>
      <c r="O55" s="7"/>
      <c r="P55" s="8"/>
      <c r="Q55" s="8"/>
      <c r="R55" s="8"/>
      <c r="S55" s="8"/>
      <c r="T55" s="8"/>
      <c r="U55" s="8"/>
      <c r="V55" s="8"/>
      <c r="W55" s="8"/>
      <c r="X55" s="8"/>
      <c r="Y55" s="8"/>
      <c r="Z55" s="8"/>
      <c r="AA55" s="9"/>
    </row>
    <row r="56" spans="2:27" ht="21.6" customHeight="1">
      <c r="B56" s="7"/>
      <c r="C56" s="8"/>
      <c r="D56" s="8"/>
      <c r="E56" s="8"/>
      <c r="F56" s="8"/>
      <c r="G56" s="8"/>
      <c r="H56" s="8"/>
      <c r="I56" s="8"/>
      <c r="J56" s="8"/>
      <c r="K56" s="8"/>
      <c r="L56" s="8"/>
      <c r="M56" s="8"/>
      <c r="N56" s="9"/>
      <c r="O56" s="7"/>
      <c r="P56" s="8"/>
      <c r="Q56" s="8"/>
      <c r="R56" s="8"/>
      <c r="S56" s="8"/>
      <c r="T56" s="8"/>
      <c r="U56" s="8"/>
      <c r="V56" s="8"/>
      <c r="W56" s="8"/>
      <c r="X56" s="8"/>
      <c r="Y56" s="8"/>
      <c r="Z56" s="8"/>
      <c r="AA56" s="9"/>
    </row>
    <row r="57" spans="2:27" ht="21.6" customHeight="1">
      <c r="B57" s="7"/>
      <c r="C57" s="19"/>
      <c r="D57" s="19"/>
      <c r="E57" s="19"/>
      <c r="F57" s="19"/>
      <c r="G57" s="19"/>
      <c r="H57" s="19"/>
      <c r="I57" s="19"/>
      <c r="J57" s="19"/>
      <c r="K57" s="19"/>
      <c r="L57" s="19"/>
      <c r="M57" s="19"/>
      <c r="N57" s="9"/>
      <c r="O57" s="7"/>
      <c r="P57" s="19"/>
      <c r="Q57" s="19"/>
      <c r="R57" s="19"/>
      <c r="S57" s="19"/>
      <c r="T57" s="19"/>
      <c r="U57" s="19"/>
      <c r="V57" s="19"/>
      <c r="W57" s="19"/>
      <c r="X57" s="19"/>
      <c r="Y57" s="19"/>
      <c r="Z57" s="19"/>
      <c r="AA57" s="9"/>
    </row>
    <row r="58" spans="2:27" ht="21.6" customHeight="1">
      <c r="B58" s="7"/>
      <c r="C58" s="19"/>
      <c r="D58" s="19"/>
      <c r="E58" s="19"/>
      <c r="F58" s="19"/>
      <c r="G58" s="19"/>
      <c r="H58" s="19"/>
      <c r="I58" s="19"/>
      <c r="J58" s="19"/>
      <c r="K58" s="19"/>
      <c r="L58" s="19"/>
      <c r="M58" s="19"/>
      <c r="N58" s="9"/>
      <c r="O58" s="7"/>
      <c r="P58" s="19"/>
      <c r="Q58" s="19"/>
      <c r="R58" s="19"/>
      <c r="S58" s="19"/>
      <c r="T58" s="19"/>
      <c r="U58" s="19"/>
      <c r="V58" s="19"/>
      <c r="W58" s="19"/>
      <c r="X58" s="19"/>
      <c r="Y58" s="19"/>
      <c r="Z58" s="19"/>
      <c r="AA58" s="9"/>
    </row>
    <row r="59" spans="2:27" ht="21.6" customHeight="1">
      <c r="B59" s="7"/>
      <c r="C59" s="19"/>
      <c r="D59" s="19"/>
      <c r="E59" s="19"/>
      <c r="F59" s="19"/>
      <c r="G59" s="19"/>
      <c r="H59" s="19"/>
      <c r="I59" s="19"/>
      <c r="J59" s="19"/>
      <c r="K59" s="19"/>
      <c r="L59" s="19"/>
      <c r="M59" s="19"/>
      <c r="N59" s="9"/>
      <c r="O59" s="7"/>
      <c r="P59" s="19"/>
      <c r="Q59" s="19"/>
      <c r="R59" s="19"/>
      <c r="S59" s="19"/>
      <c r="T59" s="19"/>
      <c r="U59" s="19"/>
      <c r="V59" s="19"/>
      <c r="W59" s="19"/>
      <c r="X59" s="19"/>
      <c r="Y59" s="19"/>
      <c r="Z59" s="19"/>
      <c r="AA59" s="9"/>
    </row>
    <row r="60" spans="2:27" ht="21.6" customHeight="1">
      <c r="B60" s="7"/>
      <c r="C60" s="19"/>
      <c r="D60" s="19"/>
      <c r="E60" s="19"/>
      <c r="F60" s="19"/>
      <c r="G60" s="19"/>
      <c r="H60" s="19"/>
      <c r="I60" s="19"/>
      <c r="J60" s="19"/>
      <c r="K60" s="19"/>
      <c r="L60" s="19"/>
      <c r="M60" s="19"/>
      <c r="N60" s="9"/>
      <c r="O60" s="7"/>
      <c r="P60" s="19"/>
      <c r="Q60" s="19"/>
      <c r="R60" s="19"/>
      <c r="S60" s="19"/>
      <c r="T60" s="19"/>
      <c r="U60" s="19"/>
      <c r="V60" s="19"/>
      <c r="W60" s="19"/>
      <c r="X60" s="19"/>
      <c r="Y60" s="19"/>
      <c r="Z60" s="19"/>
      <c r="AA60" s="9"/>
    </row>
    <row r="61" spans="2:27" ht="21.6" customHeight="1">
      <c r="B61" s="7"/>
      <c r="C61" s="19"/>
      <c r="D61" s="19"/>
      <c r="E61" s="19"/>
      <c r="F61" s="19"/>
      <c r="G61" s="19"/>
      <c r="H61" s="19"/>
      <c r="I61" s="19"/>
      <c r="J61" s="19"/>
      <c r="K61" s="19"/>
      <c r="L61" s="19"/>
      <c r="M61" s="19"/>
      <c r="N61" s="9"/>
      <c r="O61" s="7"/>
      <c r="P61" s="19"/>
      <c r="Q61" s="19"/>
      <c r="R61" s="19"/>
      <c r="S61" s="19"/>
      <c r="T61" s="19"/>
      <c r="U61" s="19"/>
      <c r="V61" s="19"/>
      <c r="W61" s="19"/>
      <c r="X61" s="19"/>
      <c r="Y61" s="19"/>
      <c r="Z61" s="19"/>
      <c r="AA61" s="9"/>
    </row>
    <row r="62" spans="2:27" ht="21.6" customHeight="1">
      <c r="B62" s="7"/>
      <c r="C62" s="19"/>
      <c r="D62" s="19"/>
      <c r="E62" s="19"/>
      <c r="F62" s="19"/>
      <c r="G62" s="19"/>
      <c r="H62" s="19"/>
      <c r="I62" s="19"/>
      <c r="J62" s="19"/>
      <c r="K62" s="19"/>
      <c r="L62" s="19"/>
      <c r="M62" s="19"/>
      <c r="N62" s="9"/>
      <c r="O62" s="7"/>
      <c r="P62" s="19"/>
      <c r="Q62" s="19"/>
      <c r="R62" s="19"/>
      <c r="S62" s="19"/>
      <c r="T62" s="19"/>
      <c r="U62" s="19"/>
      <c r="V62" s="19"/>
      <c r="W62" s="19"/>
      <c r="X62" s="19"/>
      <c r="Y62" s="19"/>
      <c r="Z62" s="19"/>
      <c r="AA62" s="9"/>
    </row>
    <row r="63" spans="2:27" ht="21.6" customHeight="1">
      <c r="B63" s="17">
        <v>7.0000000000000007E-2</v>
      </c>
      <c r="C63" s="19"/>
      <c r="D63" s="19"/>
      <c r="E63" s="19"/>
      <c r="F63" s="19"/>
      <c r="G63" s="19"/>
      <c r="H63" s="19"/>
      <c r="I63" s="19"/>
      <c r="J63" s="19"/>
      <c r="K63" s="19"/>
      <c r="L63" s="19"/>
      <c r="M63" s="19"/>
      <c r="N63" s="9"/>
      <c r="O63" s="17">
        <v>7.0000000000000007E-2</v>
      </c>
      <c r="P63" s="19"/>
      <c r="Q63" s="19"/>
      <c r="R63" s="19"/>
      <c r="S63" s="19"/>
      <c r="T63" s="19"/>
      <c r="U63" s="19"/>
      <c r="V63" s="19"/>
      <c r="W63" s="19"/>
      <c r="X63" s="19"/>
      <c r="Y63" s="19"/>
      <c r="Z63" s="19"/>
      <c r="AA63" s="9"/>
    </row>
    <row r="64" spans="2:27" ht="21.6" customHeight="1">
      <c r="B64" s="7"/>
      <c r="C64" s="19"/>
      <c r="D64" s="19"/>
      <c r="E64" s="19"/>
      <c r="F64" s="19"/>
      <c r="G64" s="19"/>
      <c r="H64" s="19"/>
      <c r="I64" s="19"/>
      <c r="J64" s="19"/>
      <c r="K64" s="19"/>
      <c r="L64" s="19"/>
      <c r="M64" s="19"/>
      <c r="N64" s="9"/>
      <c r="O64" s="7"/>
      <c r="P64" s="19"/>
      <c r="Q64" s="19"/>
      <c r="R64" s="19"/>
      <c r="S64" s="19"/>
      <c r="T64" s="19"/>
      <c r="U64" s="19"/>
      <c r="V64" s="19"/>
      <c r="W64" s="19"/>
      <c r="X64" s="19"/>
      <c r="Y64" s="19"/>
      <c r="Z64" s="19"/>
      <c r="AA64" s="9"/>
    </row>
    <row r="65" spans="2:27" ht="21.6" customHeight="1">
      <c r="B65" s="7"/>
      <c r="C65" s="19"/>
      <c r="D65" s="19"/>
      <c r="E65" s="19"/>
      <c r="F65" s="19"/>
      <c r="G65" s="19"/>
      <c r="H65" s="19"/>
      <c r="I65" s="19"/>
      <c r="J65" s="19"/>
      <c r="K65" s="19"/>
      <c r="L65" s="19"/>
      <c r="M65" s="19"/>
      <c r="N65" s="9"/>
      <c r="O65" s="7"/>
      <c r="P65" s="19"/>
      <c r="Q65" s="19"/>
      <c r="R65" s="19"/>
      <c r="S65" s="19"/>
      <c r="T65" s="19"/>
      <c r="U65" s="19"/>
      <c r="V65" s="19"/>
      <c r="W65" s="19"/>
      <c r="X65" s="19"/>
      <c r="Y65" s="19"/>
      <c r="Z65" s="19"/>
      <c r="AA65" s="9"/>
    </row>
    <row r="66" spans="2:27" ht="21.6" customHeight="1">
      <c r="B66" s="7"/>
      <c r="C66" s="8"/>
      <c r="D66" s="8"/>
      <c r="E66" s="8"/>
      <c r="F66" s="8"/>
      <c r="G66" s="8"/>
      <c r="H66" s="8"/>
      <c r="I66" s="8"/>
      <c r="J66" s="8"/>
      <c r="K66" s="8"/>
      <c r="L66" s="8"/>
      <c r="M66" s="8"/>
      <c r="N66" s="9"/>
      <c r="O66" s="7"/>
      <c r="P66" s="8"/>
      <c r="Q66" s="8"/>
      <c r="R66" s="8"/>
      <c r="S66" s="8"/>
      <c r="T66" s="8"/>
      <c r="U66" s="8"/>
      <c r="V66" s="8"/>
      <c r="W66" s="8"/>
      <c r="X66" s="8"/>
      <c r="Y66" s="8"/>
      <c r="Z66" s="8"/>
      <c r="AA66" s="9"/>
    </row>
    <row r="67" spans="2:27" ht="21.6" customHeight="1">
      <c r="B67" s="10"/>
      <c r="C67" s="11"/>
      <c r="D67" s="11"/>
      <c r="E67" s="11"/>
      <c r="F67" s="11"/>
      <c r="G67" s="11"/>
      <c r="H67" s="11"/>
      <c r="I67" s="11"/>
      <c r="J67" s="11"/>
      <c r="K67" s="11"/>
      <c r="L67" s="11"/>
      <c r="M67" s="11"/>
      <c r="N67" s="12"/>
      <c r="O67" s="10"/>
      <c r="P67" s="11"/>
      <c r="Q67" s="11"/>
      <c r="R67" s="11"/>
      <c r="S67" s="11"/>
      <c r="T67" s="11"/>
      <c r="U67" s="11"/>
      <c r="V67" s="11"/>
      <c r="W67" s="11"/>
      <c r="X67" s="11"/>
      <c r="Y67" s="11"/>
      <c r="Z67" s="11"/>
      <c r="AA67" s="12"/>
    </row>
    <row r="68" spans="2:27" ht="15"/>
    <row r="69" spans="2:27" ht="15"/>
    <row r="70" spans="2:27" ht="15"/>
    <row r="81" s="2" customFormat="1" ht="14.45" hidden="1" customHeight="1"/>
    <row r="82" s="2" customFormat="1" ht="14.45" hidden="1" customHeight="1"/>
    <row r="83" s="2" customFormat="1" ht="14.45" hidden="1" customHeight="1"/>
    <row r="84" s="2" customFormat="1" ht="14.45" hidden="1" customHeight="1"/>
    <row r="85" s="2" customFormat="1" ht="14.45" hidden="1" customHeight="1"/>
    <row r="86" s="2" customFormat="1" ht="14.45" hidden="1" customHeight="1"/>
    <row r="87" s="2" customFormat="1" ht="14.45" hidden="1" customHeight="1"/>
    <row r="88" s="2" customFormat="1" ht="14.45" hidden="1" customHeight="1"/>
  </sheetData>
  <mergeCells count="12">
    <mergeCell ref="C46:E48"/>
    <mergeCell ref="P46:R48"/>
    <mergeCell ref="C51:M51"/>
    <mergeCell ref="P51:Z51"/>
    <mergeCell ref="C43:M45"/>
    <mergeCell ref="P43:Z45"/>
    <mergeCell ref="C23:M23"/>
    <mergeCell ref="P23:Z23"/>
    <mergeCell ref="C15:M17"/>
    <mergeCell ref="P15:Z17"/>
    <mergeCell ref="C18:M20"/>
    <mergeCell ref="P18:Z20"/>
  </mergeCells>
  <conditionalFormatting sqref="C23">
    <cfRule type="expression" dxfId="95" priority="17">
      <formula>0.6&lt;=$C$18</formula>
    </cfRule>
    <cfRule type="expression" dxfId="94" priority="18">
      <formula>AND(0.4&lt;=$C$18,$C$18&lt;0.6)</formula>
    </cfRule>
    <cfRule type="expression" dxfId="93" priority="19">
      <formula>AND(0.2&lt;=$C$18,$C$18&lt;0.4)</formula>
    </cfRule>
    <cfRule type="expression" dxfId="92" priority="20">
      <formula>$C$18&lt;0.2</formula>
    </cfRule>
  </conditionalFormatting>
  <conditionalFormatting sqref="C51">
    <cfRule type="expression" dxfId="91" priority="9">
      <formula>0.3&lt;=$C$46</formula>
    </cfRule>
    <cfRule type="expression" dxfId="90" priority="10">
      <formula>AND(0.2&lt;=$C$46,$C$46&lt;0.3)</formula>
    </cfRule>
    <cfRule type="expression" dxfId="89" priority="11">
      <formula>AND(0.1&lt;=$C$46,$C$46&lt;0.2)</formula>
    </cfRule>
    <cfRule type="expression" dxfId="88" priority="12">
      <formula>$C$46&lt;0.1</formula>
    </cfRule>
  </conditionalFormatting>
  <conditionalFormatting sqref="P23">
    <cfRule type="expression" dxfId="87" priority="13">
      <formula>0.15&lt;=O21</formula>
    </cfRule>
    <cfRule type="expression" dxfId="86" priority="14">
      <formula>AND(0.1&lt;=O21,O21&lt;0.15)</formula>
    </cfRule>
    <cfRule type="expression" dxfId="85" priority="15">
      <formula>AND(0.05&lt;=O21,O21&lt;0.1)</formula>
    </cfRule>
    <cfRule type="expression" dxfId="84" priority="16">
      <formula>O21&lt;0.05</formula>
    </cfRule>
  </conditionalFormatting>
  <conditionalFormatting sqref="P51">
    <cfRule type="expression" dxfId="83" priority="1">
      <formula>0.3&lt;=$P$46</formula>
    </cfRule>
    <cfRule type="expression" dxfId="82" priority="2">
      <formula>AND(0.2&lt;=$P$46,$P$46&lt;0.3)</formula>
    </cfRule>
    <cfRule type="expression" dxfId="81" priority="3">
      <formula>AND(0.1&lt;=$P$46,$P$46&lt;0.2)</formula>
    </cfRule>
    <cfRule type="expression" dxfId="80" priority="4">
      <formula>$P$46&lt;0.1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E4425-9F3D-473C-9461-D879A495BD58}">
  <dimension ref="A1:AB130"/>
  <sheetViews>
    <sheetView zoomScale="55" zoomScaleNormal="55" workbookViewId="0">
      <selection activeCell="C18" sqref="C18:M20"/>
    </sheetView>
  </sheetViews>
  <sheetFormatPr defaultColWidth="0" defaultRowHeight="14.45" customHeight="1"/>
  <cols>
    <col min="1"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5"/>
    <row r="12" spans="2:27" ht="15">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21.6" customHeight="1">
      <c r="B15" s="7"/>
      <c r="C15" s="18" t="s">
        <v>16</v>
      </c>
      <c r="D15" s="18"/>
      <c r="E15" s="18"/>
      <c r="F15" s="18"/>
      <c r="G15" s="18"/>
      <c r="H15" s="18"/>
      <c r="I15" s="18"/>
      <c r="J15" s="18"/>
      <c r="K15" s="18"/>
      <c r="L15" s="18"/>
      <c r="M15" s="18"/>
      <c r="N15" s="9"/>
      <c r="O15" s="7"/>
      <c r="P15" s="18" t="s">
        <v>42</v>
      </c>
      <c r="Q15" s="18"/>
      <c r="R15" s="18"/>
      <c r="S15" s="18"/>
      <c r="T15" s="18"/>
      <c r="U15" s="18"/>
      <c r="V15" s="18"/>
      <c r="W15" s="18"/>
      <c r="X15" s="18"/>
      <c r="Y15" s="18"/>
      <c r="Z15" s="18"/>
      <c r="AA15" s="9"/>
    </row>
    <row r="16" spans="2:27" ht="21.6" customHeight="1">
      <c r="B16" s="7"/>
      <c r="C16" s="18"/>
      <c r="D16" s="18"/>
      <c r="E16" s="18"/>
      <c r="F16" s="18"/>
      <c r="G16" s="18"/>
      <c r="H16" s="18"/>
      <c r="I16" s="18"/>
      <c r="J16" s="18"/>
      <c r="K16" s="18"/>
      <c r="L16" s="18"/>
      <c r="M16" s="18"/>
      <c r="N16" s="9"/>
      <c r="O16" s="7"/>
      <c r="P16" s="18"/>
      <c r="Q16" s="18"/>
      <c r="R16" s="18"/>
      <c r="S16" s="18"/>
      <c r="T16" s="18"/>
      <c r="U16" s="18"/>
      <c r="V16" s="18"/>
      <c r="W16" s="18"/>
      <c r="X16" s="18"/>
      <c r="Y16" s="18"/>
      <c r="Z16" s="18"/>
      <c r="AA16" s="9"/>
    </row>
    <row r="17" spans="2:27" ht="21.6" customHeight="1">
      <c r="B17" s="7"/>
      <c r="C17" s="18"/>
      <c r="D17" s="18"/>
      <c r="E17" s="18"/>
      <c r="F17" s="18"/>
      <c r="G17" s="18"/>
      <c r="H17" s="18"/>
      <c r="I17" s="18"/>
      <c r="J17" s="18"/>
      <c r="K17" s="18"/>
      <c r="L17" s="18"/>
      <c r="M17" s="18"/>
      <c r="N17" s="9"/>
      <c r="O17" s="7"/>
      <c r="P17" s="18"/>
      <c r="Q17" s="18"/>
      <c r="R17" s="18"/>
      <c r="S17" s="18"/>
      <c r="T17" s="18"/>
      <c r="U17" s="18"/>
      <c r="V17" s="18"/>
      <c r="W17" s="18"/>
      <c r="X17" s="18"/>
      <c r="Y17" s="18"/>
      <c r="Z17" s="18"/>
      <c r="AA17" s="9"/>
    </row>
    <row r="18" spans="2:27" ht="21.6" customHeight="1">
      <c r="B18" s="7"/>
      <c r="C18" s="108">
        <f>'Financial Statements'!I26</f>
        <v>1.3170570768723193</v>
      </c>
      <c r="D18" s="108"/>
      <c r="E18" s="108"/>
      <c r="F18" s="108"/>
      <c r="G18" s="108"/>
      <c r="H18" s="108"/>
      <c r="I18" s="108"/>
      <c r="J18" s="108"/>
      <c r="K18" s="108"/>
      <c r="L18" s="108"/>
      <c r="M18" s="108"/>
      <c r="N18" s="9"/>
      <c r="O18" s="7"/>
      <c r="P18" s="108">
        <f>'Financial Statements'!I27</f>
        <v>0.67568459254371493</v>
      </c>
      <c r="Q18" s="108"/>
      <c r="R18" s="108"/>
      <c r="S18" s="108"/>
      <c r="T18" s="108"/>
      <c r="U18" s="108"/>
      <c r="V18" s="108"/>
      <c r="W18" s="108"/>
      <c r="X18" s="108"/>
      <c r="Y18" s="108"/>
      <c r="Z18" s="108"/>
      <c r="AA18" s="9"/>
    </row>
    <row r="19" spans="2:27" ht="21.6" customHeight="1">
      <c r="B19" s="7"/>
      <c r="C19" s="108"/>
      <c r="D19" s="108"/>
      <c r="E19" s="108"/>
      <c r="F19" s="108"/>
      <c r="G19" s="108"/>
      <c r="H19" s="108"/>
      <c r="I19" s="108"/>
      <c r="J19" s="108"/>
      <c r="K19" s="108"/>
      <c r="L19" s="108"/>
      <c r="M19" s="108"/>
      <c r="N19" s="9"/>
      <c r="O19" s="7"/>
      <c r="P19" s="108"/>
      <c r="Q19" s="108"/>
      <c r="R19" s="108"/>
      <c r="S19" s="108"/>
      <c r="T19" s="108"/>
      <c r="U19" s="108"/>
      <c r="V19" s="108"/>
      <c r="W19" s="108"/>
      <c r="X19" s="108"/>
      <c r="Y19" s="108"/>
      <c r="Z19" s="108"/>
      <c r="AA19" s="9"/>
    </row>
    <row r="20" spans="2:27" ht="21.6" customHeight="1">
      <c r="B20" s="7"/>
      <c r="C20" s="108"/>
      <c r="D20" s="108"/>
      <c r="E20" s="108"/>
      <c r="F20" s="108"/>
      <c r="G20" s="108"/>
      <c r="H20" s="108"/>
      <c r="I20" s="108"/>
      <c r="J20" s="108"/>
      <c r="K20" s="108"/>
      <c r="L20" s="108"/>
      <c r="M20" s="108"/>
      <c r="N20" s="9"/>
      <c r="O20" s="7"/>
      <c r="P20" s="108"/>
      <c r="Q20" s="108"/>
      <c r="R20" s="108"/>
      <c r="S20" s="108"/>
      <c r="T20" s="108"/>
      <c r="U20" s="108"/>
      <c r="V20" s="108"/>
      <c r="W20" s="108"/>
      <c r="X20" s="108"/>
      <c r="Y20" s="108"/>
      <c r="Z20" s="108"/>
      <c r="AA20" s="9"/>
    </row>
    <row r="21" spans="2:27" ht="21.6" customHeight="1">
      <c r="B21" s="17">
        <v>-0.12</v>
      </c>
      <c r="C21" s="15" t="str">
        <f>IF(B21&gt;0,"+"&amp;B21,B21)&amp;"% vs 2021"</f>
        <v>-0,12% vs 2021</v>
      </c>
      <c r="D21" s="16"/>
      <c r="E21" s="16"/>
      <c r="F21" s="16"/>
      <c r="G21" s="16"/>
      <c r="H21" s="16"/>
      <c r="I21" s="16"/>
      <c r="J21" s="16"/>
      <c r="K21" s="16"/>
      <c r="L21" s="16"/>
      <c r="M21" s="16"/>
      <c r="N21" s="9"/>
      <c r="O21" s="17">
        <v>0.13</v>
      </c>
      <c r="P21" s="15" t="str">
        <f>IF(O21&gt;0,"+"&amp;O21,O21)&amp;"% vs 2021"</f>
        <v>+0,13% vs 2021</v>
      </c>
      <c r="Q21" s="16"/>
      <c r="R21" s="16"/>
      <c r="S21" s="16"/>
      <c r="T21" s="16"/>
      <c r="U21" s="16"/>
      <c r="V21" s="16"/>
      <c r="W21" s="16"/>
      <c r="X21" s="16"/>
      <c r="Y21" s="16"/>
      <c r="Z21" s="16"/>
      <c r="AA21" s="9"/>
    </row>
    <row r="22" spans="2:27" ht="21.6" customHeight="1">
      <c r="B22" s="7"/>
      <c r="C22" s="14"/>
      <c r="D22" s="14"/>
      <c r="E22" s="14"/>
      <c r="F22" s="14"/>
      <c r="G22" s="8"/>
      <c r="H22" s="8"/>
      <c r="I22" s="8"/>
      <c r="J22" s="8"/>
      <c r="K22" s="8"/>
      <c r="L22" s="8"/>
      <c r="M22" s="8"/>
      <c r="N22" s="9"/>
      <c r="O22" s="7"/>
      <c r="P22" s="14"/>
      <c r="Q22" s="14"/>
      <c r="R22" s="14"/>
      <c r="S22" s="14"/>
      <c r="T22" s="8"/>
      <c r="U22" s="8"/>
      <c r="V22" s="8"/>
      <c r="W22" s="8"/>
      <c r="X22" s="8"/>
      <c r="Y22" s="8"/>
      <c r="Z22" s="8"/>
      <c r="AA22" s="9"/>
    </row>
    <row r="23" spans="2:27" ht="21.6"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21.6"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21.6"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21.6"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21.6"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21.6"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21.6"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21.6"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21.6"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21.6"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21.6"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21.6"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21.6"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21.6"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21.6"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21.6"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21.6"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21.6" customHeight="1">
      <c r="I40" s="4"/>
      <c r="J40" s="5"/>
      <c r="K40" s="5"/>
      <c r="L40" s="5"/>
      <c r="M40" s="5"/>
      <c r="N40" s="5"/>
      <c r="O40" s="5"/>
      <c r="P40" s="5"/>
      <c r="Q40" s="5"/>
      <c r="R40" s="5"/>
      <c r="S40" s="5"/>
      <c r="T40" s="5"/>
      <c r="U40" s="6"/>
    </row>
    <row r="41" spans="2:27" ht="21.6" customHeight="1">
      <c r="I41" s="7"/>
      <c r="J41" s="8"/>
      <c r="K41" s="8"/>
      <c r="L41" s="8"/>
      <c r="M41" s="8"/>
      <c r="N41" s="8"/>
      <c r="O41" s="8"/>
      <c r="P41" s="8"/>
      <c r="Q41" s="8"/>
      <c r="R41" s="8"/>
      <c r="S41" s="8"/>
      <c r="T41" s="8"/>
      <c r="U41" s="9"/>
    </row>
    <row r="42" spans="2:27" ht="21.6" customHeight="1">
      <c r="I42" s="7"/>
      <c r="J42" s="8"/>
      <c r="K42" s="8"/>
      <c r="L42" s="8"/>
      <c r="M42" s="8"/>
      <c r="N42" s="8"/>
      <c r="O42" s="8"/>
      <c r="P42" s="8"/>
      <c r="Q42" s="8"/>
      <c r="R42" s="8"/>
      <c r="S42" s="8"/>
      <c r="T42" s="8"/>
      <c r="U42" s="9"/>
    </row>
    <row r="43" spans="2:27" ht="21.6" customHeight="1">
      <c r="I43" s="7"/>
      <c r="J43" s="18" t="s">
        <v>43</v>
      </c>
      <c r="K43" s="18"/>
      <c r="L43" s="18"/>
      <c r="M43" s="18"/>
      <c r="N43" s="18"/>
      <c r="O43" s="18"/>
      <c r="P43" s="18"/>
      <c r="Q43" s="18"/>
      <c r="R43" s="18"/>
      <c r="S43" s="18"/>
      <c r="T43" s="18"/>
      <c r="U43" s="9"/>
    </row>
    <row r="44" spans="2:27" ht="21.6" customHeight="1">
      <c r="I44" s="7"/>
      <c r="J44" s="18"/>
      <c r="K44" s="18"/>
      <c r="L44" s="18"/>
      <c r="M44" s="18"/>
      <c r="N44" s="18"/>
      <c r="O44" s="18"/>
      <c r="P44" s="18"/>
      <c r="Q44" s="18"/>
      <c r="R44" s="18"/>
      <c r="S44" s="18"/>
      <c r="T44" s="18"/>
      <c r="U44" s="9"/>
    </row>
    <row r="45" spans="2:27" ht="21.6" customHeight="1">
      <c r="I45" s="7"/>
      <c r="J45" s="18"/>
      <c r="K45" s="18"/>
      <c r="L45" s="18"/>
      <c r="M45" s="18"/>
      <c r="N45" s="18"/>
      <c r="O45" s="18"/>
      <c r="P45" s="18"/>
      <c r="Q45" s="18"/>
      <c r="R45" s="18"/>
      <c r="S45" s="18"/>
      <c r="T45" s="18"/>
      <c r="U45" s="9"/>
    </row>
    <row r="46" spans="2:27" ht="21.6" customHeight="1">
      <c r="I46" s="7"/>
      <c r="J46" s="108">
        <f>'Financial Statements'!I28</f>
        <v>0.17782909930715934</v>
      </c>
      <c r="K46" s="108"/>
      <c r="L46" s="108"/>
      <c r="M46" s="108"/>
      <c r="N46" s="108"/>
      <c r="O46" s="108"/>
      <c r="P46" s="108"/>
      <c r="Q46" s="108"/>
      <c r="R46" s="108"/>
      <c r="S46" s="108"/>
      <c r="T46" s="108"/>
      <c r="U46" s="9"/>
    </row>
    <row r="47" spans="2:27" ht="21.6" customHeight="1">
      <c r="I47" s="7"/>
      <c r="J47" s="108"/>
      <c r="K47" s="108"/>
      <c r="L47" s="108"/>
      <c r="M47" s="108"/>
      <c r="N47" s="108"/>
      <c r="O47" s="108"/>
      <c r="P47" s="108"/>
      <c r="Q47" s="108"/>
      <c r="R47" s="108"/>
      <c r="S47" s="108"/>
      <c r="T47" s="108"/>
      <c r="U47" s="9"/>
    </row>
    <row r="48" spans="2:27" ht="21.6" customHeight="1">
      <c r="I48" s="7"/>
      <c r="J48" s="108"/>
      <c r="K48" s="108"/>
      <c r="L48" s="108"/>
      <c r="M48" s="108"/>
      <c r="N48" s="108"/>
      <c r="O48" s="108"/>
      <c r="P48" s="108"/>
      <c r="Q48" s="108"/>
      <c r="R48" s="108"/>
      <c r="S48" s="108"/>
      <c r="T48" s="108"/>
      <c r="U48" s="9"/>
    </row>
    <row r="49" spans="9:21" ht="21.6" customHeight="1">
      <c r="I49" s="17">
        <v>0.13</v>
      </c>
      <c r="J49" s="15" t="str">
        <f>IF(I49&gt;0,"+"&amp;I49,I49)&amp;"% vs 2021"</f>
        <v>+0,13% vs 2021</v>
      </c>
      <c r="K49" s="16"/>
      <c r="L49" s="16"/>
      <c r="M49" s="16"/>
      <c r="N49" s="16"/>
      <c r="O49" s="16"/>
      <c r="P49" s="16"/>
      <c r="Q49" s="16"/>
      <c r="R49" s="16"/>
      <c r="S49" s="16"/>
      <c r="T49" s="16"/>
      <c r="U49" s="9"/>
    </row>
    <row r="50" spans="9:21" ht="21.6" customHeight="1">
      <c r="I50" s="7"/>
      <c r="J50" s="14"/>
      <c r="K50" s="14"/>
      <c r="L50" s="14"/>
      <c r="M50" s="14"/>
      <c r="N50" s="8"/>
      <c r="O50" s="8"/>
      <c r="P50" s="8"/>
      <c r="Q50" s="8"/>
      <c r="R50" s="8"/>
      <c r="S50" s="8"/>
      <c r="T50" s="8"/>
      <c r="U50" s="9"/>
    </row>
    <row r="51" spans="9:21" ht="21.6" customHeight="1">
      <c r="I51" s="7"/>
      <c r="J51" s="95"/>
      <c r="K51" s="95"/>
      <c r="L51" s="95"/>
      <c r="M51" s="95"/>
      <c r="N51" s="95"/>
      <c r="O51" s="95"/>
      <c r="P51" s="95"/>
      <c r="Q51" s="95"/>
      <c r="R51" s="95"/>
      <c r="S51" s="95"/>
      <c r="T51" s="95"/>
      <c r="U51" s="9"/>
    </row>
    <row r="52" spans="9:21" ht="21.6" customHeight="1">
      <c r="I52" s="7"/>
      <c r="J52" s="8"/>
      <c r="K52" s="8"/>
      <c r="L52" s="8"/>
      <c r="M52" s="8"/>
      <c r="N52" s="8"/>
      <c r="O52" s="8"/>
      <c r="P52" s="8"/>
      <c r="Q52" s="8"/>
      <c r="R52" s="8"/>
      <c r="S52" s="8"/>
      <c r="T52" s="8"/>
      <c r="U52" s="9"/>
    </row>
    <row r="53" spans="9:21" ht="21.6" customHeight="1">
      <c r="I53" s="10"/>
      <c r="J53" s="11"/>
      <c r="K53" s="11"/>
      <c r="L53" s="11"/>
      <c r="M53" s="11"/>
      <c r="N53" s="11"/>
      <c r="O53" s="11"/>
      <c r="P53" s="11"/>
      <c r="Q53" s="11"/>
      <c r="R53" s="11"/>
      <c r="S53" s="11"/>
      <c r="T53" s="11"/>
      <c r="U53" s="12"/>
    </row>
    <row r="54" spans="9:21" ht="21.6" customHeight="1">
      <c r="I54" s="4"/>
      <c r="J54" s="5"/>
      <c r="K54" s="5"/>
      <c r="L54" s="5"/>
      <c r="M54" s="5"/>
      <c r="N54" s="5"/>
      <c r="O54" s="5"/>
      <c r="P54" s="5"/>
      <c r="Q54" s="5"/>
      <c r="R54" s="5"/>
      <c r="S54" s="5"/>
      <c r="T54" s="5"/>
      <c r="U54" s="6"/>
    </row>
    <row r="55" spans="9:21" ht="21.6" customHeight="1">
      <c r="I55" s="7"/>
      <c r="J55" s="8"/>
      <c r="K55" s="8"/>
      <c r="L55" s="8"/>
      <c r="M55" s="8"/>
      <c r="N55" s="8"/>
      <c r="O55" s="8"/>
      <c r="P55" s="8"/>
      <c r="Q55" s="8"/>
      <c r="R55" s="8"/>
      <c r="S55" s="8"/>
      <c r="T55" s="8"/>
      <c r="U55" s="9"/>
    </row>
    <row r="56" spans="9:21" ht="21.6" customHeight="1">
      <c r="I56" s="7"/>
      <c r="J56" s="8"/>
      <c r="K56" s="8"/>
      <c r="L56" s="8"/>
      <c r="M56" s="8"/>
      <c r="N56" s="8"/>
      <c r="O56" s="8"/>
      <c r="P56" s="8"/>
      <c r="Q56" s="8"/>
      <c r="R56" s="8"/>
      <c r="S56" s="8"/>
      <c r="T56" s="8"/>
      <c r="U56" s="9"/>
    </row>
    <row r="57" spans="9:21" ht="21.6" customHeight="1">
      <c r="I57" s="7"/>
      <c r="J57" s="19"/>
      <c r="K57" s="19"/>
      <c r="L57" s="19"/>
      <c r="M57" s="19"/>
      <c r="N57" s="19"/>
      <c r="O57" s="19"/>
      <c r="P57" s="19"/>
      <c r="Q57" s="19"/>
      <c r="R57" s="19"/>
      <c r="S57" s="19"/>
      <c r="T57" s="19"/>
      <c r="U57" s="9"/>
    </row>
    <row r="58" spans="9:21" ht="21.6" customHeight="1">
      <c r="I58" s="7"/>
      <c r="J58" s="19"/>
      <c r="K58" s="19"/>
      <c r="L58" s="19"/>
      <c r="M58" s="19"/>
      <c r="N58" s="19"/>
      <c r="O58" s="19"/>
      <c r="P58" s="19"/>
      <c r="Q58" s="19"/>
      <c r="R58" s="19"/>
      <c r="S58" s="19"/>
      <c r="T58" s="19"/>
      <c r="U58" s="9"/>
    </row>
    <row r="59" spans="9:21" ht="21.6" customHeight="1">
      <c r="I59" s="7"/>
      <c r="J59" s="19"/>
      <c r="K59" s="19"/>
      <c r="L59" s="19"/>
      <c r="M59" s="19"/>
      <c r="N59" s="19"/>
      <c r="O59" s="19"/>
      <c r="P59" s="19"/>
      <c r="Q59" s="19"/>
      <c r="R59" s="19"/>
      <c r="S59" s="19"/>
      <c r="T59" s="19"/>
      <c r="U59" s="9"/>
    </row>
    <row r="60" spans="9:21" ht="21.6" customHeight="1">
      <c r="I60" s="7"/>
      <c r="J60" s="19"/>
      <c r="K60" s="19"/>
      <c r="L60" s="19"/>
      <c r="M60" s="19"/>
      <c r="N60" s="19"/>
      <c r="O60" s="19"/>
      <c r="P60" s="19"/>
      <c r="Q60" s="19"/>
      <c r="R60" s="19"/>
      <c r="S60" s="19"/>
      <c r="T60" s="19"/>
      <c r="U60" s="9"/>
    </row>
    <row r="61" spans="9:21" ht="19.350000000000001" customHeight="1">
      <c r="I61" s="7"/>
      <c r="J61" s="19"/>
      <c r="K61" s="19"/>
      <c r="L61" s="19"/>
      <c r="M61" s="19"/>
      <c r="N61" s="19"/>
      <c r="O61" s="19"/>
      <c r="P61" s="19"/>
      <c r="Q61" s="19"/>
      <c r="R61" s="19"/>
      <c r="S61" s="19"/>
      <c r="T61" s="19"/>
      <c r="U61" s="9"/>
    </row>
    <row r="62" spans="9:21" ht="19.350000000000001" customHeight="1">
      <c r="I62" s="7"/>
      <c r="J62" s="19"/>
      <c r="K62" s="19"/>
      <c r="L62" s="19"/>
      <c r="M62" s="19"/>
      <c r="N62" s="19"/>
      <c r="O62" s="19"/>
      <c r="P62" s="19"/>
      <c r="Q62" s="19"/>
      <c r="R62" s="19"/>
      <c r="S62" s="19"/>
      <c r="T62" s="19"/>
      <c r="U62" s="9"/>
    </row>
    <row r="63" spans="9:21" ht="19.350000000000001" customHeight="1">
      <c r="I63" s="17">
        <v>7.0000000000000007E-2</v>
      </c>
      <c r="J63" s="19"/>
      <c r="K63" s="19"/>
      <c r="L63" s="19"/>
      <c r="M63" s="19"/>
      <c r="N63" s="19"/>
      <c r="O63" s="19"/>
      <c r="P63" s="19"/>
      <c r="Q63" s="19"/>
      <c r="R63" s="19"/>
      <c r="S63" s="19"/>
      <c r="T63" s="19"/>
      <c r="U63" s="9"/>
    </row>
    <row r="64" spans="9:21" ht="19.350000000000001" customHeight="1">
      <c r="I64" s="7"/>
      <c r="J64" s="19"/>
      <c r="K64" s="19"/>
      <c r="L64" s="19"/>
      <c r="M64" s="19"/>
      <c r="N64" s="19"/>
      <c r="O64" s="19"/>
      <c r="P64" s="19"/>
      <c r="Q64" s="19"/>
      <c r="R64" s="19"/>
      <c r="S64" s="19"/>
      <c r="T64" s="19"/>
      <c r="U64" s="9"/>
    </row>
    <row r="65" spans="2:27" ht="19.350000000000001" customHeight="1">
      <c r="I65" s="7"/>
      <c r="J65" s="19"/>
      <c r="K65" s="19"/>
      <c r="L65" s="19"/>
      <c r="M65" s="19"/>
      <c r="N65" s="19"/>
      <c r="O65" s="19"/>
      <c r="P65" s="19"/>
      <c r="Q65" s="19"/>
      <c r="R65" s="19"/>
      <c r="S65" s="19"/>
      <c r="T65" s="19"/>
      <c r="U65" s="9"/>
    </row>
    <row r="66" spans="2:27" ht="19.350000000000001" customHeight="1">
      <c r="I66" s="7"/>
      <c r="J66" s="8"/>
      <c r="K66" s="8"/>
      <c r="L66" s="8"/>
      <c r="M66" s="8"/>
      <c r="N66" s="8"/>
      <c r="O66" s="8"/>
      <c r="P66" s="8"/>
      <c r="Q66" s="8"/>
      <c r="R66" s="8"/>
      <c r="S66" s="8"/>
      <c r="T66" s="8"/>
      <c r="U66" s="9"/>
    </row>
    <row r="67" spans="2:27" ht="19.350000000000001" customHeight="1">
      <c r="I67" s="10"/>
      <c r="J67" s="11"/>
      <c r="K67" s="11"/>
      <c r="L67" s="11"/>
      <c r="M67" s="11"/>
      <c r="N67" s="11"/>
      <c r="O67" s="11"/>
      <c r="P67" s="11"/>
      <c r="Q67" s="11"/>
      <c r="R67" s="11"/>
      <c r="S67" s="11"/>
      <c r="T67" s="11"/>
      <c r="U67" s="12"/>
    </row>
    <row r="68" spans="2:27" ht="19.350000000000001" customHeight="1"/>
    <row r="69" spans="2:27" ht="19.350000000000001" customHeight="1"/>
    <row r="70" spans="2:27" ht="19.350000000000001" customHeight="1"/>
    <row r="71" spans="2:27" ht="19.350000000000001" customHeight="1"/>
    <row r="72" spans="2:27" ht="19.350000000000001" customHeight="1"/>
    <row r="73" spans="2:27" ht="19.350000000000001" customHeight="1"/>
    <row r="74" spans="2:27" ht="19.350000000000001" customHeight="1">
      <c r="B74" s="4"/>
      <c r="C74" s="5"/>
      <c r="D74" s="5"/>
      <c r="E74" s="5"/>
      <c r="F74" s="5"/>
      <c r="G74" s="5"/>
      <c r="H74" s="5"/>
      <c r="I74" s="5"/>
      <c r="J74" s="5"/>
      <c r="K74" s="5"/>
      <c r="L74" s="5"/>
      <c r="M74" s="5"/>
      <c r="N74" s="6"/>
      <c r="O74" s="4"/>
      <c r="P74" s="5"/>
      <c r="Q74" s="5"/>
      <c r="R74" s="5"/>
      <c r="S74" s="5"/>
      <c r="T74" s="5"/>
      <c r="U74" s="5"/>
      <c r="V74" s="5"/>
      <c r="W74" s="5"/>
      <c r="X74" s="5"/>
      <c r="Y74" s="5"/>
      <c r="Z74" s="5"/>
      <c r="AA74" s="6"/>
    </row>
    <row r="75" spans="2:27" ht="19.350000000000001" customHeight="1">
      <c r="B75" s="7"/>
      <c r="C75" s="8"/>
      <c r="D75" s="8"/>
      <c r="E75" s="8"/>
      <c r="F75" s="8"/>
      <c r="G75" s="8"/>
      <c r="H75" s="8"/>
      <c r="I75" s="8"/>
      <c r="J75" s="8"/>
      <c r="K75" s="8"/>
      <c r="L75" s="8"/>
      <c r="M75" s="8"/>
      <c r="N75" s="9"/>
      <c r="O75" s="7"/>
      <c r="P75" s="8"/>
      <c r="Q75" s="8"/>
      <c r="R75" s="8"/>
      <c r="S75" s="8"/>
      <c r="T75" s="8"/>
      <c r="U75" s="8"/>
      <c r="V75" s="8"/>
      <c r="W75" s="8"/>
      <c r="X75" s="8"/>
      <c r="Y75" s="8"/>
      <c r="Z75" s="8"/>
      <c r="AA75" s="9"/>
    </row>
    <row r="76" spans="2:27" ht="19.350000000000001" customHeight="1">
      <c r="B76" s="7"/>
      <c r="C76" s="8"/>
      <c r="D76" s="8"/>
      <c r="E76" s="8"/>
      <c r="F76" s="8"/>
      <c r="G76" s="8"/>
      <c r="H76" s="8"/>
      <c r="I76" s="8"/>
      <c r="J76" s="8"/>
      <c r="K76" s="8"/>
      <c r="L76" s="8"/>
      <c r="M76" s="8"/>
      <c r="N76" s="9"/>
      <c r="O76" s="7"/>
      <c r="P76" s="8"/>
      <c r="Q76" s="8"/>
      <c r="R76" s="8"/>
      <c r="S76" s="8"/>
      <c r="T76" s="8"/>
      <c r="U76" s="8"/>
      <c r="V76" s="8"/>
      <c r="W76" s="8"/>
      <c r="X76" s="8"/>
      <c r="Y76" s="8"/>
      <c r="Z76" s="8"/>
      <c r="AA76" s="9"/>
    </row>
    <row r="77" spans="2:27" ht="19.350000000000001" customHeight="1">
      <c r="B77" s="7"/>
      <c r="C77" s="96" t="s">
        <v>44</v>
      </c>
      <c r="D77" s="96"/>
      <c r="E77" s="96"/>
      <c r="F77" s="96"/>
      <c r="G77" s="96"/>
      <c r="H77" s="96"/>
      <c r="I77" s="96"/>
      <c r="J77" s="96"/>
      <c r="K77" s="96"/>
      <c r="L77" s="96"/>
      <c r="M77" s="96"/>
      <c r="N77" s="9"/>
      <c r="O77" s="7"/>
      <c r="P77" s="96" t="s">
        <v>17</v>
      </c>
      <c r="Q77" s="96"/>
      <c r="R77" s="96"/>
      <c r="S77" s="96"/>
      <c r="T77" s="96"/>
      <c r="U77" s="96"/>
      <c r="V77" s="96"/>
      <c r="W77" s="96"/>
      <c r="X77" s="96"/>
      <c r="Y77" s="96"/>
      <c r="Z77" s="96"/>
      <c r="AA77" s="9"/>
    </row>
    <row r="78" spans="2:27" ht="19.350000000000001" customHeight="1">
      <c r="B78" s="7"/>
      <c r="C78" s="96"/>
      <c r="D78" s="96"/>
      <c r="E78" s="96"/>
      <c r="F78" s="96"/>
      <c r="G78" s="96"/>
      <c r="H78" s="96"/>
      <c r="I78" s="96"/>
      <c r="J78" s="96"/>
      <c r="K78" s="96"/>
      <c r="L78" s="96"/>
      <c r="M78" s="96"/>
      <c r="N78" s="9"/>
      <c r="O78" s="7"/>
      <c r="P78" s="96"/>
      <c r="Q78" s="96"/>
      <c r="R78" s="96"/>
      <c r="S78" s="96"/>
      <c r="T78" s="96"/>
      <c r="U78" s="96"/>
      <c r="V78" s="96"/>
      <c r="W78" s="96"/>
      <c r="X78" s="96"/>
      <c r="Y78" s="96"/>
      <c r="Z78" s="96"/>
      <c r="AA78" s="9"/>
    </row>
    <row r="79" spans="2:27" ht="19.350000000000001" customHeight="1">
      <c r="B79" s="7"/>
      <c r="C79" s="96"/>
      <c r="D79" s="96"/>
      <c r="E79" s="96"/>
      <c r="F79" s="96"/>
      <c r="G79" s="96"/>
      <c r="H79" s="96"/>
      <c r="I79" s="96"/>
      <c r="J79" s="96"/>
      <c r="K79" s="96"/>
      <c r="L79" s="96"/>
      <c r="M79" s="96"/>
      <c r="N79" s="9"/>
      <c r="O79" s="7"/>
      <c r="P79" s="96"/>
      <c r="Q79" s="96"/>
      <c r="R79" s="96"/>
      <c r="S79" s="96"/>
      <c r="T79" s="96"/>
      <c r="U79" s="96"/>
      <c r="V79" s="96"/>
      <c r="W79" s="96"/>
      <c r="X79" s="96"/>
      <c r="Y79" s="96"/>
      <c r="Z79" s="96"/>
      <c r="AA79" s="9"/>
    </row>
    <row r="80" spans="2:27" ht="19.350000000000001" customHeight="1">
      <c r="B80" s="7"/>
      <c r="C80" s="111">
        <f>'Financial Statements'!I30</f>
        <v>1.0891620498614958</v>
      </c>
      <c r="D80" s="111"/>
      <c r="E80" s="111"/>
      <c r="F80" s="14"/>
      <c r="G80" s="8"/>
      <c r="H80" s="8"/>
      <c r="I80" s="8"/>
      <c r="J80" s="8"/>
      <c r="K80" s="8"/>
      <c r="L80" s="8"/>
      <c r="M80" s="8"/>
      <c r="N80" s="9"/>
      <c r="O80" s="7"/>
      <c r="P80" s="111">
        <f>'Financial Statements'!I31</f>
        <v>0.31048267693218834</v>
      </c>
      <c r="Q80" s="111"/>
      <c r="R80" s="111"/>
      <c r="S80" s="14"/>
      <c r="T80" s="8"/>
      <c r="U80" s="8"/>
      <c r="V80" s="8"/>
      <c r="W80" s="8"/>
      <c r="X80" s="8"/>
      <c r="Y80" s="8"/>
      <c r="Z80" s="8"/>
      <c r="AA80" s="9"/>
    </row>
    <row r="81" spans="2:27" ht="19.350000000000001" customHeight="1">
      <c r="B81" s="7"/>
      <c r="C81" s="111"/>
      <c r="D81" s="111"/>
      <c r="E81" s="111"/>
      <c r="F81" s="14"/>
      <c r="G81" s="8"/>
      <c r="H81" s="8"/>
      <c r="I81" s="8"/>
      <c r="J81" s="8"/>
      <c r="K81" s="8"/>
      <c r="L81" s="8"/>
      <c r="M81" s="8"/>
      <c r="N81" s="9"/>
      <c r="O81" s="7"/>
      <c r="P81" s="111"/>
      <c r="Q81" s="111"/>
      <c r="R81" s="111"/>
      <c r="S81" s="14"/>
      <c r="T81" s="8"/>
      <c r="U81" s="8"/>
      <c r="V81" s="8"/>
      <c r="W81" s="8"/>
      <c r="X81" s="8"/>
      <c r="Y81" s="8"/>
      <c r="Z81" s="8"/>
      <c r="AA81" s="9"/>
    </row>
    <row r="82" spans="2:27" ht="19.350000000000001" customHeight="1">
      <c r="B82" s="7"/>
      <c r="C82" s="111"/>
      <c r="D82" s="111"/>
      <c r="E82" s="111"/>
      <c r="F82" s="14"/>
      <c r="G82" s="8"/>
      <c r="H82" s="8"/>
      <c r="I82" s="8"/>
      <c r="J82" s="8"/>
      <c r="K82" s="8"/>
      <c r="L82" s="8"/>
      <c r="M82" s="8"/>
      <c r="N82" s="9"/>
      <c r="O82" s="7"/>
      <c r="P82" s="111"/>
      <c r="Q82" s="111"/>
      <c r="R82" s="111"/>
      <c r="S82" s="14"/>
      <c r="T82" s="8"/>
      <c r="U82" s="8"/>
      <c r="V82" s="8"/>
      <c r="W82" s="8"/>
      <c r="X82" s="8"/>
      <c r="Y82" s="8"/>
      <c r="Z82" s="8"/>
      <c r="AA82" s="9"/>
    </row>
    <row r="83" spans="2:27" ht="19.350000000000001" customHeight="1">
      <c r="B83" s="17">
        <v>-0.12</v>
      </c>
      <c r="C83" s="15" t="str">
        <f>IF(B83&gt;0,"+"&amp;B83,B83)&amp;"% vs 2021"</f>
        <v>-0,12% vs 2021</v>
      </c>
      <c r="D83" s="16"/>
      <c r="E83" s="16"/>
      <c r="F83" s="16"/>
      <c r="G83" s="16"/>
      <c r="H83" s="16"/>
      <c r="I83" s="16"/>
      <c r="J83" s="16"/>
      <c r="K83" s="16"/>
      <c r="L83" s="16"/>
      <c r="M83" s="16"/>
      <c r="N83" s="9"/>
      <c r="O83" s="17">
        <v>0.13</v>
      </c>
      <c r="P83" s="15" t="str">
        <f>IF(O83&gt;0,"+"&amp;O83,O83)&amp;"% vs 2021"</f>
        <v>+0,13% vs 2021</v>
      </c>
      <c r="Q83" s="16"/>
      <c r="R83" s="16"/>
      <c r="S83" s="16"/>
      <c r="T83" s="16"/>
      <c r="U83" s="16"/>
      <c r="V83" s="16"/>
      <c r="W83" s="16"/>
      <c r="X83" s="16"/>
      <c r="Y83" s="16"/>
      <c r="Z83" s="16"/>
      <c r="AA83" s="9"/>
    </row>
    <row r="84" spans="2:27" ht="19.350000000000001" customHeight="1">
      <c r="B84" s="7"/>
      <c r="C84" s="14"/>
      <c r="D84" s="14"/>
      <c r="E84" s="14"/>
      <c r="F84" s="14"/>
      <c r="G84" s="8"/>
      <c r="H84" s="8"/>
      <c r="I84" s="8"/>
      <c r="J84" s="8"/>
      <c r="K84" s="8"/>
      <c r="L84" s="8"/>
      <c r="M84" s="8"/>
      <c r="N84" s="9"/>
      <c r="O84" s="7"/>
      <c r="P84" s="14"/>
      <c r="Q84" s="14"/>
      <c r="R84" s="14"/>
      <c r="S84" s="14"/>
      <c r="T84" s="8"/>
      <c r="U84" s="8"/>
      <c r="V84" s="8"/>
      <c r="W84" s="8"/>
      <c r="X84" s="8"/>
      <c r="Y84" s="8"/>
      <c r="Z84" s="8"/>
      <c r="AA84" s="9"/>
    </row>
    <row r="85" spans="2:27" ht="19.350000000000001" customHeight="1">
      <c r="B85" s="7"/>
      <c r="C85" s="95"/>
      <c r="D85" s="95"/>
      <c r="E85" s="95"/>
      <c r="F85" s="95"/>
      <c r="G85" s="95"/>
      <c r="H85" s="95"/>
      <c r="I85" s="95"/>
      <c r="J85" s="95"/>
      <c r="K85" s="95"/>
      <c r="L85" s="95"/>
      <c r="M85" s="95"/>
      <c r="N85" s="9"/>
      <c r="O85" s="7"/>
      <c r="P85" s="95"/>
      <c r="Q85" s="95"/>
      <c r="R85" s="95"/>
      <c r="S85" s="95"/>
      <c r="T85" s="95"/>
      <c r="U85" s="95"/>
      <c r="V85" s="95"/>
      <c r="W85" s="95"/>
      <c r="X85" s="95"/>
      <c r="Y85" s="95"/>
      <c r="Z85" s="95"/>
      <c r="AA85" s="9"/>
    </row>
    <row r="86" spans="2:27" ht="19.350000000000001" customHeight="1">
      <c r="B86" s="7"/>
      <c r="C86" s="8"/>
      <c r="D86" s="8"/>
      <c r="E86" s="8"/>
      <c r="F86" s="8"/>
      <c r="G86" s="8"/>
      <c r="H86" s="8"/>
      <c r="I86" s="8"/>
      <c r="J86" s="8"/>
      <c r="K86" s="8"/>
      <c r="L86" s="8"/>
      <c r="M86" s="8"/>
      <c r="N86" s="9"/>
      <c r="O86" s="7"/>
      <c r="P86" s="8"/>
      <c r="Q86" s="8"/>
      <c r="R86" s="8"/>
      <c r="S86" s="8"/>
      <c r="T86" s="8"/>
      <c r="U86" s="8"/>
      <c r="V86" s="8"/>
      <c r="W86" s="8"/>
      <c r="X86" s="8"/>
      <c r="Y86" s="8"/>
      <c r="Z86" s="8"/>
      <c r="AA86" s="9"/>
    </row>
    <row r="87" spans="2:27" ht="19.350000000000001" customHeight="1">
      <c r="B87" s="10"/>
      <c r="C87" s="11"/>
      <c r="D87" s="11"/>
      <c r="E87" s="11"/>
      <c r="F87" s="11"/>
      <c r="G87" s="11"/>
      <c r="H87" s="11"/>
      <c r="I87" s="11"/>
      <c r="J87" s="11"/>
      <c r="K87" s="11"/>
      <c r="L87" s="11"/>
      <c r="M87" s="11"/>
      <c r="N87" s="12"/>
      <c r="O87" s="10"/>
      <c r="P87" s="11"/>
      <c r="Q87" s="11"/>
      <c r="R87" s="11"/>
      <c r="S87" s="11"/>
      <c r="T87" s="11"/>
      <c r="U87" s="11"/>
      <c r="V87" s="11"/>
      <c r="W87" s="11"/>
      <c r="X87" s="11"/>
      <c r="Y87" s="11"/>
      <c r="Z87" s="11"/>
      <c r="AA87" s="12"/>
    </row>
    <row r="88" spans="2:27" ht="19.350000000000001" customHeight="1">
      <c r="B88" s="4"/>
      <c r="C88" s="5"/>
      <c r="D88" s="5"/>
      <c r="E88" s="5"/>
      <c r="F88" s="5"/>
      <c r="G88" s="5"/>
      <c r="H88" s="5"/>
      <c r="I88" s="5"/>
      <c r="J88" s="5"/>
      <c r="K88" s="5"/>
      <c r="L88" s="5"/>
      <c r="M88" s="5"/>
      <c r="N88" s="6"/>
      <c r="O88" s="4"/>
      <c r="P88" s="5"/>
      <c r="Q88" s="5"/>
      <c r="R88" s="5"/>
      <c r="S88" s="5"/>
      <c r="T88" s="5"/>
      <c r="U88" s="5"/>
      <c r="V88" s="5"/>
      <c r="W88" s="5"/>
      <c r="X88" s="5"/>
      <c r="Y88" s="5"/>
      <c r="Z88" s="5"/>
      <c r="AA88" s="6"/>
    </row>
    <row r="89" spans="2:27" ht="19.350000000000001" customHeight="1">
      <c r="B89" s="7"/>
      <c r="C89" s="8"/>
      <c r="D89" s="8"/>
      <c r="E89" s="8"/>
      <c r="F89" s="8"/>
      <c r="G89" s="8"/>
      <c r="H89" s="8"/>
      <c r="I89" s="8"/>
      <c r="J89" s="8"/>
      <c r="K89" s="8"/>
      <c r="L89" s="8"/>
      <c r="M89" s="8"/>
      <c r="N89" s="9"/>
      <c r="O89" s="7"/>
      <c r="P89" s="8"/>
      <c r="Q89" s="8"/>
      <c r="R89" s="8"/>
      <c r="S89" s="8"/>
      <c r="T89" s="8"/>
      <c r="U89" s="8"/>
      <c r="V89" s="8"/>
      <c r="W89" s="8"/>
      <c r="X89" s="8"/>
      <c r="Y89" s="8"/>
      <c r="Z89" s="8"/>
      <c r="AA89" s="9"/>
    </row>
    <row r="90" spans="2:27" ht="19.350000000000001" customHeight="1">
      <c r="B90" s="7"/>
      <c r="C90" s="8"/>
      <c r="D90" s="8"/>
      <c r="E90" s="8"/>
      <c r="F90" s="8"/>
      <c r="G90" s="8"/>
      <c r="H90" s="8"/>
      <c r="I90" s="8"/>
      <c r="J90" s="8"/>
      <c r="K90" s="8"/>
      <c r="L90" s="8"/>
      <c r="M90" s="8"/>
      <c r="N90" s="9"/>
      <c r="O90" s="7"/>
      <c r="P90" s="8"/>
      <c r="Q90" s="8"/>
      <c r="R90" s="8"/>
      <c r="S90" s="8"/>
      <c r="T90" s="8"/>
      <c r="U90" s="8"/>
      <c r="V90" s="8"/>
      <c r="W90" s="8"/>
      <c r="X90" s="8"/>
      <c r="Y90" s="8"/>
      <c r="Z90" s="8"/>
      <c r="AA90" s="9"/>
    </row>
    <row r="91" spans="2:27" ht="19.350000000000001" customHeight="1">
      <c r="B91" s="7"/>
      <c r="C91" s="19"/>
      <c r="D91" s="19"/>
      <c r="E91" s="19"/>
      <c r="F91" s="19"/>
      <c r="G91" s="19"/>
      <c r="H91" s="19"/>
      <c r="I91" s="19"/>
      <c r="J91" s="19"/>
      <c r="K91" s="19"/>
      <c r="L91" s="19"/>
      <c r="M91" s="19"/>
      <c r="N91" s="9"/>
      <c r="O91" s="7"/>
      <c r="P91" s="19"/>
      <c r="Q91" s="19"/>
      <c r="R91" s="19"/>
      <c r="S91" s="19"/>
      <c r="T91" s="19"/>
      <c r="U91" s="19"/>
      <c r="V91" s="19"/>
      <c r="W91" s="19"/>
      <c r="X91" s="19"/>
      <c r="Y91" s="19"/>
      <c r="Z91" s="19"/>
      <c r="AA91" s="9"/>
    </row>
    <row r="92" spans="2:27" ht="19.350000000000001" customHeight="1">
      <c r="B92" s="7"/>
      <c r="C92" s="19"/>
      <c r="D92" s="19"/>
      <c r="E92" s="19"/>
      <c r="F92" s="19"/>
      <c r="G92" s="19"/>
      <c r="H92" s="19"/>
      <c r="I92" s="19"/>
      <c r="J92" s="19"/>
      <c r="K92" s="19"/>
      <c r="L92" s="19"/>
      <c r="M92" s="19"/>
      <c r="N92" s="9"/>
      <c r="O92" s="7"/>
      <c r="P92" s="19"/>
      <c r="Q92" s="19"/>
      <c r="R92" s="19"/>
      <c r="S92" s="19"/>
      <c r="T92" s="19"/>
      <c r="U92" s="19"/>
      <c r="V92" s="19"/>
      <c r="W92" s="19"/>
      <c r="X92" s="19"/>
      <c r="Y92" s="19"/>
      <c r="Z92" s="19"/>
      <c r="AA92" s="9"/>
    </row>
    <row r="93" spans="2:27" ht="19.350000000000001" customHeight="1">
      <c r="B93" s="7"/>
      <c r="C93" s="19"/>
      <c r="D93" s="19"/>
      <c r="E93" s="19"/>
      <c r="F93" s="19"/>
      <c r="G93" s="19"/>
      <c r="H93" s="19"/>
      <c r="I93" s="19"/>
      <c r="J93" s="19"/>
      <c r="K93" s="19"/>
      <c r="L93" s="19"/>
      <c r="M93" s="19"/>
      <c r="N93" s="9"/>
      <c r="O93" s="7"/>
      <c r="P93" s="19"/>
      <c r="Q93" s="19"/>
      <c r="R93" s="19"/>
      <c r="S93" s="19"/>
      <c r="T93" s="19"/>
      <c r="U93" s="19"/>
      <c r="V93" s="19"/>
      <c r="W93" s="19"/>
      <c r="X93" s="19"/>
      <c r="Y93" s="19"/>
      <c r="Z93" s="19"/>
      <c r="AA93" s="9"/>
    </row>
    <row r="94" spans="2:27" ht="19.350000000000001" customHeight="1">
      <c r="B94" s="7"/>
      <c r="C94" s="19"/>
      <c r="D94" s="19"/>
      <c r="E94" s="19"/>
      <c r="F94" s="19"/>
      <c r="G94" s="19"/>
      <c r="H94" s="19"/>
      <c r="I94" s="19"/>
      <c r="J94" s="19"/>
      <c r="K94" s="19"/>
      <c r="L94" s="19"/>
      <c r="M94" s="19"/>
      <c r="N94" s="9"/>
      <c r="O94" s="7"/>
      <c r="P94" s="19"/>
      <c r="Q94" s="19"/>
      <c r="R94" s="19"/>
      <c r="S94" s="19"/>
      <c r="T94" s="19"/>
      <c r="U94" s="19"/>
      <c r="V94" s="19"/>
      <c r="W94" s="19"/>
      <c r="X94" s="19"/>
      <c r="Y94" s="19"/>
      <c r="Z94" s="19"/>
      <c r="AA94" s="9"/>
    </row>
    <row r="95" spans="2:27" ht="19.350000000000001" customHeight="1">
      <c r="B95" s="7"/>
      <c r="C95" s="19"/>
      <c r="D95" s="19"/>
      <c r="E95" s="19"/>
      <c r="F95" s="19"/>
      <c r="G95" s="19"/>
      <c r="H95" s="19"/>
      <c r="I95" s="19"/>
      <c r="J95" s="19"/>
      <c r="K95" s="19"/>
      <c r="L95" s="19"/>
      <c r="M95" s="19"/>
      <c r="N95" s="9"/>
      <c r="O95" s="7"/>
      <c r="P95" s="19"/>
      <c r="Q95" s="19"/>
      <c r="R95" s="19"/>
      <c r="S95" s="19"/>
      <c r="T95" s="19"/>
      <c r="U95" s="19"/>
      <c r="V95" s="19"/>
      <c r="W95" s="19"/>
      <c r="X95" s="19"/>
      <c r="Y95" s="19"/>
      <c r="Z95" s="19"/>
      <c r="AA95" s="9"/>
    </row>
    <row r="96" spans="2:27" ht="19.350000000000001" customHeight="1">
      <c r="B96" s="7"/>
      <c r="C96" s="19"/>
      <c r="D96" s="19"/>
      <c r="E96" s="19"/>
      <c r="F96" s="19"/>
      <c r="G96" s="19"/>
      <c r="H96" s="19"/>
      <c r="I96" s="19"/>
      <c r="J96" s="19"/>
      <c r="K96" s="19"/>
      <c r="L96" s="19"/>
      <c r="M96" s="19"/>
      <c r="N96" s="9"/>
      <c r="O96" s="7"/>
      <c r="P96" s="19"/>
      <c r="Q96" s="19"/>
      <c r="R96" s="19"/>
      <c r="S96" s="19"/>
      <c r="T96" s="19"/>
      <c r="U96" s="19"/>
      <c r="V96" s="19"/>
      <c r="W96" s="19"/>
      <c r="X96" s="19"/>
      <c r="Y96" s="19"/>
      <c r="Z96" s="19"/>
      <c r="AA96" s="9"/>
    </row>
    <row r="97" spans="2:27" ht="19.350000000000001" customHeight="1">
      <c r="B97" s="17">
        <v>7.0000000000000007E-2</v>
      </c>
      <c r="C97" s="19"/>
      <c r="D97" s="19"/>
      <c r="E97" s="19"/>
      <c r="F97" s="19"/>
      <c r="G97" s="19"/>
      <c r="H97" s="19"/>
      <c r="I97" s="19"/>
      <c r="J97" s="19"/>
      <c r="K97" s="19"/>
      <c r="L97" s="19"/>
      <c r="M97" s="19"/>
      <c r="N97" s="9"/>
      <c r="O97" s="17">
        <v>7.0000000000000007E-2</v>
      </c>
      <c r="P97" s="19"/>
      <c r="Q97" s="19"/>
      <c r="R97" s="19"/>
      <c r="S97" s="19"/>
      <c r="T97" s="19"/>
      <c r="U97" s="19"/>
      <c r="V97" s="19"/>
      <c r="W97" s="19"/>
      <c r="X97" s="19"/>
      <c r="Y97" s="19"/>
      <c r="Z97" s="19"/>
      <c r="AA97" s="9"/>
    </row>
    <row r="98" spans="2:27" ht="19.350000000000001" customHeight="1">
      <c r="B98" s="7"/>
      <c r="C98" s="19"/>
      <c r="D98" s="19"/>
      <c r="E98" s="19"/>
      <c r="F98" s="19"/>
      <c r="G98" s="19"/>
      <c r="H98" s="19"/>
      <c r="I98" s="19"/>
      <c r="J98" s="19"/>
      <c r="K98" s="19"/>
      <c r="L98" s="19"/>
      <c r="M98" s="19"/>
      <c r="N98" s="9"/>
      <c r="O98" s="7"/>
      <c r="P98" s="19"/>
      <c r="Q98" s="19"/>
      <c r="R98" s="19"/>
      <c r="S98" s="19"/>
      <c r="T98" s="19"/>
      <c r="U98" s="19"/>
      <c r="V98" s="19"/>
      <c r="W98" s="19"/>
      <c r="X98" s="19"/>
      <c r="Y98" s="19"/>
      <c r="Z98" s="19"/>
      <c r="AA98" s="9"/>
    </row>
    <row r="99" spans="2:27" ht="19.350000000000001" customHeight="1">
      <c r="B99" s="7"/>
      <c r="C99" s="19"/>
      <c r="D99" s="19"/>
      <c r="E99" s="19"/>
      <c r="F99" s="19"/>
      <c r="G99" s="19"/>
      <c r="H99" s="19"/>
      <c r="I99" s="19"/>
      <c r="J99" s="19"/>
      <c r="K99" s="19"/>
      <c r="L99" s="19"/>
      <c r="M99" s="19"/>
      <c r="N99" s="9"/>
      <c r="O99" s="7"/>
      <c r="P99" s="19"/>
      <c r="Q99" s="19"/>
      <c r="R99" s="19"/>
      <c r="S99" s="19"/>
      <c r="T99" s="19"/>
      <c r="U99" s="19"/>
      <c r="V99" s="19"/>
      <c r="W99" s="19"/>
      <c r="X99" s="19"/>
      <c r="Y99" s="19"/>
      <c r="Z99" s="19"/>
      <c r="AA99" s="9"/>
    </row>
    <row r="100" spans="2:27" ht="19.350000000000001" customHeight="1">
      <c r="B100" s="7"/>
      <c r="C100" s="8"/>
      <c r="D100" s="8"/>
      <c r="E100" s="8"/>
      <c r="F100" s="8"/>
      <c r="G100" s="8"/>
      <c r="H100" s="8"/>
      <c r="I100" s="8"/>
      <c r="J100" s="8"/>
      <c r="K100" s="8"/>
      <c r="L100" s="8"/>
      <c r="M100" s="8"/>
      <c r="N100" s="9"/>
      <c r="O100" s="7"/>
      <c r="P100" s="8"/>
      <c r="Q100" s="8"/>
      <c r="R100" s="8"/>
      <c r="S100" s="8"/>
      <c r="T100" s="8"/>
      <c r="U100" s="8"/>
      <c r="V100" s="8"/>
      <c r="W100" s="8"/>
      <c r="X100" s="8"/>
      <c r="Y100" s="8"/>
      <c r="Z100" s="8"/>
      <c r="AA100" s="9"/>
    </row>
    <row r="101" spans="2:27" ht="19.350000000000001" customHeight="1">
      <c r="B101" s="10"/>
      <c r="C101" s="11"/>
      <c r="D101" s="11"/>
      <c r="E101" s="11"/>
      <c r="F101" s="11"/>
      <c r="G101" s="11"/>
      <c r="H101" s="11"/>
      <c r="I101" s="11"/>
      <c r="J101" s="11"/>
      <c r="K101" s="11"/>
      <c r="L101" s="11"/>
      <c r="M101" s="11"/>
      <c r="N101" s="12"/>
      <c r="O101" s="10"/>
      <c r="P101" s="11"/>
      <c r="Q101" s="11"/>
      <c r="R101" s="11"/>
      <c r="S101" s="11"/>
      <c r="T101" s="11"/>
      <c r="U101" s="11"/>
      <c r="V101" s="11"/>
      <c r="W101" s="11"/>
      <c r="X101" s="11"/>
      <c r="Y101" s="11"/>
      <c r="Z101" s="11"/>
      <c r="AA101" s="12"/>
    </row>
    <row r="102" spans="2:27" ht="19.350000000000001" customHeight="1">
      <c r="B102" s="4"/>
      <c r="C102" s="5"/>
      <c r="D102" s="5"/>
      <c r="E102" s="5"/>
      <c r="F102" s="5"/>
      <c r="G102" s="5"/>
      <c r="H102" s="5"/>
      <c r="I102" s="5"/>
      <c r="J102" s="5"/>
      <c r="K102" s="5"/>
      <c r="L102" s="5"/>
      <c r="M102" s="5"/>
      <c r="N102" s="6"/>
      <c r="O102" s="4"/>
      <c r="P102" s="5"/>
      <c r="Q102" s="5"/>
      <c r="R102" s="5"/>
      <c r="S102" s="5"/>
      <c r="T102" s="5"/>
      <c r="U102" s="5"/>
      <c r="V102" s="5"/>
      <c r="W102" s="5"/>
      <c r="X102" s="5"/>
      <c r="Y102" s="5"/>
      <c r="Z102" s="5"/>
      <c r="AA102" s="6"/>
    </row>
    <row r="103" spans="2:27" ht="19.350000000000001" customHeight="1">
      <c r="B103" s="7"/>
      <c r="C103" s="8"/>
      <c r="D103" s="8"/>
      <c r="E103" s="8"/>
      <c r="F103" s="8"/>
      <c r="G103" s="8"/>
      <c r="H103" s="8"/>
      <c r="I103" s="8"/>
      <c r="J103" s="8"/>
      <c r="K103" s="8"/>
      <c r="L103" s="8"/>
      <c r="M103" s="8"/>
      <c r="N103" s="9"/>
      <c r="O103" s="7"/>
      <c r="P103" s="8"/>
      <c r="Q103" s="8"/>
      <c r="R103" s="8"/>
      <c r="S103" s="8"/>
      <c r="T103" s="8"/>
      <c r="U103" s="8"/>
      <c r="V103" s="8"/>
      <c r="W103" s="8"/>
      <c r="X103" s="8"/>
      <c r="Y103" s="8"/>
      <c r="Z103" s="8"/>
      <c r="AA103" s="9"/>
    </row>
    <row r="104" spans="2:27" ht="19.350000000000001" customHeight="1">
      <c r="B104" s="7"/>
      <c r="C104" s="8"/>
      <c r="D104" s="8"/>
      <c r="E104" s="8"/>
      <c r="F104" s="8"/>
      <c r="G104" s="8"/>
      <c r="H104" s="8"/>
      <c r="I104" s="8"/>
      <c r="J104" s="8"/>
      <c r="K104" s="8"/>
      <c r="L104" s="8"/>
      <c r="M104" s="8"/>
      <c r="N104" s="9"/>
      <c r="O104" s="7"/>
      <c r="P104" s="8"/>
      <c r="Q104" s="8"/>
      <c r="R104" s="8"/>
      <c r="S104" s="8"/>
      <c r="T104" s="8"/>
      <c r="U104" s="8"/>
      <c r="V104" s="8"/>
      <c r="W104" s="8"/>
      <c r="X104" s="8"/>
      <c r="Y104" s="8"/>
      <c r="Z104" s="8"/>
      <c r="AA104" s="9"/>
    </row>
    <row r="105" spans="2:27" ht="19.350000000000001" customHeight="1">
      <c r="B105" s="7"/>
      <c r="C105" s="96" t="s">
        <v>45</v>
      </c>
      <c r="D105" s="96"/>
      <c r="E105" s="96"/>
      <c r="F105" s="96"/>
      <c r="G105" s="96"/>
      <c r="H105" s="96"/>
      <c r="I105" s="96"/>
      <c r="J105" s="96"/>
      <c r="K105" s="96"/>
      <c r="L105" s="96"/>
      <c r="M105" s="96"/>
      <c r="N105" s="9"/>
      <c r="O105" s="7"/>
      <c r="P105" s="96" t="s">
        <v>46</v>
      </c>
      <c r="Q105" s="96"/>
      <c r="R105" s="96"/>
      <c r="S105" s="96"/>
      <c r="T105" s="96"/>
      <c r="U105" s="96"/>
      <c r="V105" s="96"/>
      <c r="W105" s="96"/>
      <c r="X105" s="96"/>
      <c r="Y105" s="96"/>
      <c r="Z105" s="96"/>
      <c r="AA105" s="9"/>
    </row>
    <row r="106" spans="2:27" ht="19.350000000000001" customHeight="1">
      <c r="B106" s="7"/>
      <c r="C106" s="96"/>
      <c r="D106" s="96"/>
      <c r="E106" s="96"/>
      <c r="F106" s="96"/>
      <c r="G106" s="96"/>
      <c r="H106" s="96"/>
      <c r="I106" s="96"/>
      <c r="J106" s="96"/>
      <c r="K106" s="96"/>
      <c r="L106" s="96"/>
      <c r="M106" s="96"/>
      <c r="N106" s="9"/>
      <c r="O106" s="7"/>
      <c r="P106" s="96"/>
      <c r="Q106" s="96"/>
      <c r="R106" s="96"/>
      <c r="S106" s="96"/>
      <c r="T106" s="96"/>
      <c r="U106" s="96"/>
      <c r="V106" s="96"/>
      <c r="W106" s="96"/>
      <c r="X106" s="96"/>
      <c r="Y106" s="96"/>
      <c r="Z106" s="96"/>
      <c r="AA106" s="9"/>
    </row>
    <row r="107" spans="2:27" ht="19.350000000000001" customHeight="1">
      <c r="B107" s="7"/>
      <c r="C107" s="96"/>
      <c r="D107" s="96"/>
      <c r="E107" s="96"/>
      <c r="F107" s="96"/>
      <c r="G107" s="96"/>
      <c r="H107" s="96"/>
      <c r="I107" s="96"/>
      <c r="J107" s="96"/>
      <c r="K107" s="96"/>
      <c r="L107" s="96"/>
      <c r="M107" s="96"/>
      <c r="N107" s="9"/>
      <c r="O107" s="7"/>
      <c r="P107" s="96"/>
      <c r="Q107" s="96"/>
      <c r="R107" s="96"/>
      <c r="S107" s="96"/>
      <c r="T107" s="96"/>
      <c r="U107" s="96"/>
      <c r="V107" s="96"/>
      <c r="W107" s="96"/>
      <c r="X107" s="96"/>
      <c r="Y107" s="96"/>
      <c r="Z107" s="96"/>
      <c r="AA107" s="9"/>
    </row>
    <row r="108" spans="2:27" ht="19.350000000000001" customHeight="1">
      <c r="B108" s="7"/>
      <c r="C108" s="108">
        <f>'Financial Statements'!I32</f>
        <v>7.1280276816608996</v>
      </c>
      <c r="D108" s="108"/>
      <c r="E108" s="108"/>
      <c r="F108" s="108"/>
      <c r="G108" s="108"/>
      <c r="H108" s="108"/>
      <c r="I108" s="108"/>
      <c r="J108" s="108"/>
      <c r="K108" s="108"/>
      <c r="L108" s="108"/>
      <c r="M108" s="108"/>
      <c r="N108" s="9"/>
      <c r="O108" s="7"/>
      <c r="P108" s="110">
        <f>'Financial Statements'!I33</f>
        <v>1.4961587708066582</v>
      </c>
      <c r="Q108" s="110"/>
      <c r="R108" s="110"/>
      <c r="S108" s="110"/>
      <c r="T108" s="110"/>
      <c r="U108" s="110"/>
      <c r="V108" s="110"/>
      <c r="W108" s="110"/>
      <c r="X108" s="110"/>
      <c r="Y108" s="110"/>
      <c r="Z108" s="110"/>
      <c r="AA108" s="9"/>
    </row>
    <row r="109" spans="2:27" ht="19.350000000000001" customHeight="1">
      <c r="B109" s="7"/>
      <c r="C109" s="108"/>
      <c r="D109" s="108"/>
      <c r="E109" s="108"/>
      <c r="F109" s="108"/>
      <c r="G109" s="108"/>
      <c r="H109" s="108"/>
      <c r="I109" s="108"/>
      <c r="J109" s="108"/>
      <c r="K109" s="108"/>
      <c r="L109" s="108"/>
      <c r="M109" s="108"/>
      <c r="N109" s="9"/>
      <c r="O109" s="7"/>
      <c r="P109" s="110"/>
      <c r="Q109" s="110"/>
      <c r="R109" s="110"/>
      <c r="S109" s="110"/>
      <c r="T109" s="110"/>
      <c r="U109" s="110"/>
      <c r="V109" s="110"/>
      <c r="W109" s="110"/>
      <c r="X109" s="110"/>
      <c r="Y109" s="110"/>
      <c r="Z109" s="110"/>
      <c r="AA109" s="9"/>
    </row>
    <row r="110" spans="2:27" ht="19.350000000000001" customHeight="1">
      <c r="B110" s="7"/>
      <c r="C110" s="108"/>
      <c r="D110" s="108"/>
      <c r="E110" s="108"/>
      <c r="F110" s="108"/>
      <c r="G110" s="108"/>
      <c r="H110" s="108"/>
      <c r="I110" s="108"/>
      <c r="J110" s="108"/>
      <c r="K110" s="108"/>
      <c r="L110" s="108"/>
      <c r="M110" s="108"/>
      <c r="N110" s="9"/>
      <c r="O110" s="7"/>
      <c r="P110" s="110"/>
      <c r="Q110" s="110"/>
      <c r="R110" s="110"/>
      <c r="S110" s="110"/>
      <c r="T110" s="110"/>
      <c r="U110" s="110"/>
      <c r="V110" s="110"/>
      <c r="W110" s="110"/>
      <c r="X110" s="110"/>
      <c r="Y110" s="110"/>
      <c r="Z110" s="110"/>
      <c r="AA110" s="9"/>
    </row>
    <row r="111" spans="2:27" ht="19.350000000000001" customHeight="1">
      <c r="B111" s="17">
        <v>0.14000000000000001</v>
      </c>
      <c r="C111" s="15" t="str">
        <f>IF(B111&gt;0,"+"&amp;B111,B111)&amp;"% vs 2021"</f>
        <v>+0,14% vs 2021</v>
      </c>
      <c r="D111" s="16"/>
      <c r="E111" s="16"/>
      <c r="F111" s="16"/>
      <c r="G111" s="16"/>
      <c r="H111" s="16"/>
      <c r="I111" s="16"/>
      <c r="J111" s="16"/>
      <c r="K111" s="16"/>
      <c r="L111" s="16"/>
      <c r="M111" s="16"/>
      <c r="N111" s="9"/>
      <c r="O111" s="17">
        <v>-0.14000000000000001</v>
      </c>
      <c r="P111" s="15" t="str">
        <f>IF(O111&gt;0,"+"&amp;O111,O111)&amp;"% vs 2021"</f>
        <v>-0,14% vs 2021</v>
      </c>
      <c r="Q111" s="16"/>
      <c r="R111" s="16"/>
      <c r="S111" s="16"/>
      <c r="T111" s="16"/>
      <c r="U111" s="16"/>
      <c r="V111" s="16"/>
      <c r="W111" s="16"/>
      <c r="X111" s="16"/>
      <c r="Y111" s="16"/>
      <c r="Z111" s="16"/>
      <c r="AA111" s="9"/>
    </row>
    <row r="112" spans="2:27" ht="19.350000000000001" customHeight="1">
      <c r="B112" s="17">
        <v>1E-3</v>
      </c>
      <c r="C112" s="14"/>
      <c r="D112" s="14"/>
      <c r="E112" s="14"/>
      <c r="F112" s="14"/>
      <c r="G112" s="8"/>
      <c r="H112" s="8"/>
      <c r="I112" s="8"/>
      <c r="J112" s="8"/>
      <c r="K112" s="8"/>
      <c r="L112" s="8"/>
      <c r="M112" s="8"/>
      <c r="N112" s="9"/>
      <c r="O112" s="17">
        <v>1E-3</v>
      </c>
      <c r="P112" s="14"/>
      <c r="Q112" s="14"/>
      <c r="R112" s="14"/>
      <c r="S112" s="14"/>
      <c r="T112" s="8"/>
      <c r="U112" s="8"/>
      <c r="V112" s="8"/>
      <c r="W112" s="8"/>
      <c r="X112" s="8"/>
      <c r="Y112" s="8"/>
      <c r="Z112" s="8"/>
      <c r="AA112" s="9"/>
    </row>
    <row r="113" spans="2:27" ht="19.350000000000001" customHeight="1">
      <c r="B113" s="7"/>
      <c r="C113" s="95"/>
      <c r="D113" s="95"/>
      <c r="E113" s="95"/>
      <c r="F113" s="95"/>
      <c r="G113" s="95"/>
      <c r="H113" s="95"/>
      <c r="I113" s="95"/>
      <c r="J113" s="95"/>
      <c r="K113" s="95"/>
      <c r="L113" s="95"/>
      <c r="M113" s="95"/>
      <c r="N113" s="9"/>
      <c r="O113" s="7"/>
      <c r="P113" s="95"/>
      <c r="Q113" s="95"/>
      <c r="R113" s="95"/>
      <c r="S113" s="95"/>
      <c r="T113" s="95"/>
      <c r="U113" s="95"/>
      <c r="V113" s="95"/>
      <c r="W113" s="95"/>
      <c r="X113" s="95"/>
      <c r="Y113" s="95"/>
      <c r="Z113" s="95"/>
      <c r="AA113" s="9"/>
    </row>
    <row r="114" spans="2:27" ht="19.350000000000001" customHeight="1">
      <c r="B114" s="7"/>
      <c r="C114" s="8"/>
      <c r="D114" s="8"/>
      <c r="E114" s="8"/>
      <c r="F114" s="8"/>
      <c r="G114" s="8"/>
      <c r="H114" s="8"/>
      <c r="I114" s="8"/>
      <c r="J114" s="8"/>
      <c r="K114" s="8"/>
      <c r="L114" s="8"/>
      <c r="M114" s="8"/>
      <c r="N114" s="9"/>
      <c r="O114" s="7"/>
      <c r="P114" s="8"/>
      <c r="Q114" s="8"/>
      <c r="R114" s="8"/>
      <c r="S114" s="8"/>
      <c r="T114" s="8"/>
      <c r="U114" s="8"/>
      <c r="V114" s="8"/>
      <c r="W114" s="8"/>
      <c r="X114" s="8"/>
      <c r="Y114" s="8"/>
      <c r="Z114" s="8"/>
      <c r="AA114" s="9"/>
    </row>
    <row r="115" spans="2:27" ht="19.350000000000001" customHeight="1">
      <c r="B115" s="10"/>
      <c r="C115" s="11"/>
      <c r="D115" s="11"/>
      <c r="E115" s="11"/>
      <c r="F115" s="11"/>
      <c r="G115" s="11"/>
      <c r="H115" s="11"/>
      <c r="I115" s="11"/>
      <c r="J115" s="11"/>
      <c r="K115" s="11"/>
      <c r="L115" s="11"/>
      <c r="M115" s="11"/>
      <c r="N115" s="12"/>
      <c r="O115" s="10"/>
      <c r="P115" s="11"/>
      <c r="Q115" s="11"/>
      <c r="R115" s="11"/>
      <c r="S115" s="11"/>
      <c r="T115" s="11"/>
      <c r="U115" s="11"/>
      <c r="V115" s="11"/>
      <c r="W115" s="11"/>
      <c r="X115" s="11"/>
      <c r="Y115" s="11"/>
      <c r="Z115" s="11"/>
      <c r="AA115" s="12"/>
    </row>
    <row r="116" spans="2:27" ht="19.350000000000001" customHeight="1">
      <c r="B116" s="4"/>
      <c r="C116" s="5"/>
      <c r="D116" s="5"/>
      <c r="E116" s="5"/>
      <c r="F116" s="5"/>
      <c r="G116" s="5"/>
      <c r="H116" s="5"/>
      <c r="I116" s="5"/>
      <c r="J116" s="5"/>
      <c r="K116" s="5"/>
      <c r="L116" s="5"/>
      <c r="M116" s="5"/>
      <c r="N116" s="6"/>
      <c r="O116" s="4"/>
      <c r="P116" s="5"/>
      <c r="Q116" s="5"/>
      <c r="R116" s="5"/>
      <c r="S116" s="5"/>
      <c r="T116" s="5"/>
      <c r="U116" s="5"/>
      <c r="V116" s="5"/>
      <c r="W116" s="5"/>
      <c r="X116" s="5"/>
      <c r="Y116" s="5"/>
      <c r="Z116" s="5"/>
      <c r="AA116" s="6"/>
    </row>
    <row r="117" spans="2:27" ht="19.350000000000001" customHeight="1">
      <c r="B117" s="7"/>
      <c r="C117" s="8"/>
      <c r="D117" s="8"/>
      <c r="E117" s="8"/>
      <c r="F117" s="8"/>
      <c r="G117" s="8"/>
      <c r="H117" s="8"/>
      <c r="I117" s="8"/>
      <c r="J117" s="8"/>
      <c r="K117" s="8"/>
      <c r="L117" s="8"/>
      <c r="M117" s="8"/>
      <c r="N117" s="9"/>
      <c r="O117" s="7"/>
      <c r="P117" s="8"/>
      <c r="Q117" s="8"/>
      <c r="R117" s="8"/>
      <c r="S117" s="8"/>
      <c r="T117" s="8"/>
      <c r="U117" s="8"/>
      <c r="V117" s="8"/>
      <c r="W117" s="8"/>
      <c r="X117" s="8"/>
      <c r="Y117" s="8"/>
      <c r="Z117" s="8"/>
      <c r="AA117" s="9"/>
    </row>
    <row r="118" spans="2:27" ht="19.350000000000001" customHeight="1">
      <c r="B118" s="7"/>
      <c r="C118" s="8"/>
      <c r="D118" s="8"/>
      <c r="E118" s="8"/>
      <c r="F118" s="8"/>
      <c r="G118" s="8"/>
      <c r="H118" s="8"/>
      <c r="I118" s="8"/>
      <c r="J118" s="8"/>
      <c r="K118" s="8"/>
      <c r="L118" s="8"/>
      <c r="M118" s="8"/>
      <c r="N118" s="9"/>
      <c r="O118" s="7"/>
      <c r="P118" s="8"/>
      <c r="Q118" s="8"/>
      <c r="R118" s="8"/>
      <c r="S118" s="8"/>
      <c r="T118" s="8"/>
      <c r="U118" s="8"/>
      <c r="V118" s="8"/>
      <c r="W118" s="8"/>
      <c r="X118" s="8"/>
      <c r="Y118" s="8"/>
      <c r="Z118" s="8"/>
      <c r="AA118" s="9"/>
    </row>
    <row r="119" spans="2:27" ht="19.350000000000001" customHeight="1">
      <c r="B119" s="7"/>
      <c r="C119" s="19"/>
      <c r="D119" s="19"/>
      <c r="E119" s="19"/>
      <c r="F119" s="19"/>
      <c r="G119" s="19"/>
      <c r="H119" s="19"/>
      <c r="I119" s="19"/>
      <c r="J119" s="19"/>
      <c r="K119" s="19"/>
      <c r="L119" s="19"/>
      <c r="M119" s="19"/>
      <c r="N119" s="9"/>
      <c r="O119" s="7"/>
      <c r="P119" s="19"/>
      <c r="Q119" s="19"/>
      <c r="R119" s="19"/>
      <c r="S119" s="19"/>
      <c r="T119" s="19"/>
      <c r="U119" s="19"/>
      <c r="V119" s="19"/>
      <c r="W119" s="19"/>
      <c r="X119" s="19"/>
      <c r="Y119" s="19"/>
      <c r="Z119" s="19"/>
      <c r="AA119" s="9"/>
    </row>
    <row r="120" spans="2:27" ht="19.350000000000001" customHeight="1">
      <c r="B120" s="7"/>
      <c r="C120" s="19"/>
      <c r="D120" s="19"/>
      <c r="E120" s="19"/>
      <c r="F120" s="19"/>
      <c r="G120" s="19"/>
      <c r="H120" s="19"/>
      <c r="I120" s="19"/>
      <c r="J120" s="19"/>
      <c r="K120" s="19"/>
      <c r="L120" s="19"/>
      <c r="M120" s="19"/>
      <c r="N120" s="9"/>
      <c r="O120" s="7"/>
      <c r="P120" s="19"/>
      <c r="Q120" s="19"/>
      <c r="R120" s="19"/>
      <c r="S120" s="19"/>
      <c r="T120" s="19"/>
      <c r="U120" s="19"/>
      <c r="V120" s="19"/>
      <c r="W120" s="19"/>
      <c r="X120" s="19"/>
      <c r="Y120" s="19"/>
      <c r="Z120" s="19"/>
      <c r="AA120" s="9"/>
    </row>
    <row r="121" spans="2:27" ht="19.350000000000001" customHeight="1">
      <c r="B121" s="7"/>
      <c r="C121" s="19"/>
      <c r="D121" s="19"/>
      <c r="E121" s="19"/>
      <c r="F121" s="19"/>
      <c r="G121" s="19"/>
      <c r="H121" s="19"/>
      <c r="I121" s="19"/>
      <c r="J121" s="19"/>
      <c r="K121" s="19"/>
      <c r="L121" s="19"/>
      <c r="M121" s="19"/>
      <c r="N121" s="9"/>
      <c r="O121" s="7"/>
      <c r="P121" s="19"/>
      <c r="Q121" s="19"/>
      <c r="R121" s="19"/>
      <c r="S121" s="19"/>
      <c r="T121" s="19"/>
      <c r="U121" s="19"/>
      <c r="V121" s="19"/>
      <c r="W121" s="19"/>
      <c r="X121" s="19"/>
      <c r="Y121" s="19"/>
      <c r="Z121" s="19"/>
      <c r="AA121" s="9"/>
    </row>
    <row r="122" spans="2:27" ht="19.350000000000001" customHeight="1">
      <c r="B122" s="7"/>
      <c r="C122" s="19"/>
      <c r="D122" s="19"/>
      <c r="E122" s="19"/>
      <c r="F122" s="19"/>
      <c r="G122" s="19"/>
      <c r="H122" s="19"/>
      <c r="I122" s="19"/>
      <c r="J122" s="19"/>
      <c r="K122" s="19"/>
      <c r="L122" s="19"/>
      <c r="M122" s="19"/>
      <c r="N122" s="9"/>
      <c r="O122" s="7"/>
      <c r="P122" s="19"/>
      <c r="Q122" s="19"/>
      <c r="R122" s="19"/>
      <c r="S122" s="19"/>
      <c r="T122" s="19"/>
      <c r="U122" s="19"/>
      <c r="V122" s="19"/>
      <c r="W122" s="19"/>
      <c r="X122" s="19"/>
      <c r="Y122" s="19"/>
      <c r="Z122" s="19"/>
      <c r="AA122" s="9"/>
    </row>
    <row r="123" spans="2:27" ht="19.350000000000001" customHeight="1">
      <c r="B123" s="7"/>
      <c r="C123" s="19"/>
      <c r="D123" s="19"/>
      <c r="E123" s="19"/>
      <c r="F123" s="19"/>
      <c r="G123" s="19"/>
      <c r="H123" s="19"/>
      <c r="I123" s="19"/>
      <c r="J123" s="19"/>
      <c r="K123" s="19"/>
      <c r="L123" s="19"/>
      <c r="M123" s="19"/>
      <c r="N123" s="9"/>
      <c r="O123" s="7"/>
      <c r="P123" s="19"/>
      <c r="Q123" s="19"/>
      <c r="R123" s="19"/>
      <c r="S123" s="19"/>
      <c r="T123" s="19"/>
      <c r="U123" s="19"/>
      <c r="V123" s="19"/>
      <c r="W123" s="19"/>
      <c r="X123" s="19"/>
      <c r="Y123" s="19"/>
      <c r="Z123" s="19"/>
      <c r="AA123" s="9"/>
    </row>
    <row r="124" spans="2:27" ht="19.350000000000001" customHeight="1">
      <c r="B124" s="7"/>
      <c r="C124" s="19"/>
      <c r="D124" s="19"/>
      <c r="E124" s="19"/>
      <c r="F124" s="19"/>
      <c r="G124" s="19"/>
      <c r="H124" s="19"/>
      <c r="I124" s="19"/>
      <c r="J124" s="19"/>
      <c r="K124" s="19"/>
      <c r="L124" s="19"/>
      <c r="M124" s="19"/>
      <c r="N124" s="9"/>
      <c r="O124" s="7"/>
      <c r="P124" s="19"/>
      <c r="Q124" s="19"/>
      <c r="R124" s="19"/>
      <c r="S124" s="19"/>
      <c r="T124" s="19"/>
      <c r="U124" s="19"/>
      <c r="V124" s="19"/>
      <c r="W124" s="19"/>
      <c r="X124" s="19"/>
      <c r="Y124" s="19"/>
      <c r="Z124" s="19"/>
      <c r="AA124" s="9"/>
    </row>
    <row r="125" spans="2:27" ht="19.350000000000001" customHeight="1">
      <c r="B125" s="17">
        <v>7.0000000000000007E-2</v>
      </c>
      <c r="C125" s="19"/>
      <c r="D125" s="19"/>
      <c r="E125" s="19"/>
      <c r="F125" s="19"/>
      <c r="G125" s="19"/>
      <c r="H125" s="19"/>
      <c r="I125" s="19"/>
      <c r="J125" s="19"/>
      <c r="K125" s="19"/>
      <c r="L125" s="19"/>
      <c r="M125" s="19"/>
      <c r="N125" s="9"/>
      <c r="O125" s="17">
        <v>7.0000000000000007E-2</v>
      </c>
      <c r="P125" s="19"/>
      <c r="Q125" s="19"/>
      <c r="R125" s="19"/>
      <c r="S125" s="19"/>
      <c r="T125" s="19"/>
      <c r="U125" s="19"/>
      <c r="V125" s="19"/>
      <c r="W125" s="19"/>
      <c r="X125" s="19"/>
      <c r="Y125" s="19"/>
      <c r="Z125" s="19"/>
      <c r="AA125" s="9"/>
    </row>
    <row r="126" spans="2:27" ht="19.350000000000001" customHeight="1">
      <c r="B126" s="7"/>
      <c r="C126" s="19"/>
      <c r="D126" s="19"/>
      <c r="E126" s="19"/>
      <c r="F126" s="19"/>
      <c r="G126" s="19"/>
      <c r="H126" s="19"/>
      <c r="I126" s="19"/>
      <c r="J126" s="19"/>
      <c r="K126" s="19"/>
      <c r="L126" s="19"/>
      <c r="M126" s="19"/>
      <c r="N126" s="9"/>
      <c r="O126" s="7"/>
      <c r="P126" s="19"/>
      <c r="Q126" s="19"/>
      <c r="R126" s="19"/>
      <c r="S126" s="19"/>
      <c r="T126" s="19"/>
      <c r="U126" s="19"/>
      <c r="V126" s="19"/>
      <c r="W126" s="19"/>
      <c r="X126" s="19"/>
      <c r="Y126" s="19"/>
      <c r="Z126" s="19"/>
      <c r="AA126" s="9"/>
    </row>
    <row r="127" spans="2:27" ht="19.350000000000001" customHeight="1">
      <c r="B127" s="7"/>
      <c r="C127" s="19"/>
      <c r="D127" s="19"/>
      <c r="E127" s="19"/>
      <c r="F127" s="19"/>
      <c r="G127" s="19"/>
      <c r="H127" s="19"/>
      <c r="I127" s="19"/>
      <c r="J127" s="19"/>
      <c r="K127" s="19"/>
      <c r="L127" s="19"/>
      <c r="M127" s="19"/>
      <c r="N127" s="9"/>
      <c r="O127" s="7"/>
      <c r="P127" s="19"/>
      <c r="Q127" s="19"/>
      <c r="R127" s="19"/>
      <c r="S127" s="19"/>
      <c r="T127" s="19"/>
      <c r="U127" s="19"/>
      <c r="V127" s="19"/>
      <c r="W127" s="19"/>
      <c r="X127" s="19"/>
      <c r="Y127" s="19"/>
      <c r="Z127" s="19"/>
      <c r="AA127" s="9"/>
    </row>
    <row r="128" spans="2:27" ht="19.350000000000001" customHeight="1">
      <c r="B128" s="7"/>
      <c r="C128" s="8"/>
      <c r="D128" s="8"/>
      <c r="E128" s="8"/>
      <c r="F128" s="8"/>
      <c r="G128" s="8"/>
      <c r="H128" s="8"/>
      <c r="I128" s="8"/>
      <c r="J128" s="8"/>
      <c r="K128" s="8"/>
      <c r="L128" s="8"/>
      <c r="M128" s="8"/>
      <c r="N128" s="9"/>
      <c r="O128" s="7"/>
      <c r="P128" s="8"/>
      <c r="Q128" s="8"/>
      <c r="R128" s="8"/>
      <c r="S128" s="8"/>
      <c r="T128" s="8"/>
      <c r="U128" s="8"/>
      <c r="V128" s="8"/>
      <c r="W128" s="8"/>
      <c r="X128" s="8"/>
      <c r="Y128" s="8"/>
      <c r="Z128" s="8"/>
      <c r="AA128" s="9"/>
    </row>
    <row r="129" spans="2:27" ht="19.350000000000001" customHeight="1">
      <c r="B129" s="10"/>
      <c r="C129" s="11"/>
      <c r="D129" s="11"/>
      <c r="E129" s="11"/>
      <c r="F129" s="11"/>
      <c r="G129" s="11"/>
      <c r="H129" s="11"/>
      <c r="I129" s="11"/>
      <c r="J129" s="11"/>
      <c r="K129" s="11"/>
      <c r="L129" s="11"/>
      <c r="M129" s="11"/>
      <c r="N129" s="12"/>
      <c r="O129" s="10"/>
      <c r="P129" s="11"/>
      <c r="Q129" s="11"/>
      <c r="R129" s="11"/>
      <c r="S129" s="11"/>
      <c r="T129" s="11"/>
      <c r="U129" s="11"/>
      <c r="V129" s="11"/>
      <c r="W129" s="11"/>
      <c r="X129" s="11"/>
      <c r="Y129" s="11"/>
      <c r="Z129" s="11"/>
      <c r="AA129" s="12"/>
    </row>
    <row r="130" spans="2:27" ht="19.350000000000001" customHeight="1"/>
  </sheetData>
  <mergeCells count="18">
    <mergeCell ref="C85:M85"/>
    <mergeCell ref="P85:Z85"/>
    <mergeCell ref="C77:M79"/>
    <mergeCell ref="P77:Z79"/>
    <mergeCell ref="J46:T48"/>
    <mergeCell ref="J51:T51"/>
    <mergeCell ref="C18:M20"/>
    <mergeCell ref="C23:M23"/>
    <mergeCell ref="P18:Z20"/>
    <mergeCell ref="P23:Z23"/>
    <mergeCell ref="C80:E82"/>
    <mergeCell ref="P80:R82"/>
    <mergeCell ref="C105:M107"/>
    <mergeCell ref="P105:Z107"/>
    <mergeCell ref="C108:M110"/>
    <mergeCell ref="P108:Z110"/>
    <mergeCell ref="C113:M113"/>
    <mergeCell ref="P113:Z113"/>
  </mergeCells>
  <conditionalFormatting sqref="C23">
    <cfRule type="expression" dxfId="79" priority="13">
      <formula>2&lt;=$C$18</formula>
    </cfRule>
    <cfRule type="expression" dxfId="78" priority="14">
      <formula>AND(1.5&lt;=$C$18,$C$18&lt;2)</formula>
    </cfRule>
    <cfRule type="expression" dxfId="77" priority="15">
      <formula>AND(1&lt;=$C$18,$C$18&lt;1.5)</formula>
    </cfRule>
    <cfRule type="expression" dxfId="76" priority="16">
      <formula>$C$18&lt;1</formula>
    </cfRule>
  </conditionalFormatting>
  <conditionalFormatting sqref="C85">
    <cfRule type="expression" dxfId="75" priority="43">
      <formula>AND(0.4&lt;=$C$80,$C$80&lt;0.6)</formula>
    </cfRule>
    <cfRule type="expression" dxfId="74" priority="42">
      <formula>AND(0.2&lt;=$C$80,$C$80&lt;0.4)</formula>
    </cfRule>
    <cfRule type="expression" dxfId="73" priority="41">
      <formula>0.2&gt;=$C$80</formula>
    </cfRule>
    <cfRule type="expression" dxfId="72" priority="44">
      <formula>$C$80&gt;0.6</formula>
    </cfRule>
  </conditionalFormatting>
  <conditionalFormatting sqref="C113">
    <cfRule type="expression" dxfId="71" priority="33">
      <formula>5&lt;=$C$108</formula>
    </cfRule>
    <cfRule type="expression" dxfId="70" priority="36">
      <formula>$C$108&lt;1.5</formula>
    </cfRule>
    <cfRule type="expression" dxfId="69" priority="35">
      <formula>AND(1.5&lt;=$C$108,$C$108&lt;3)</formula>
    </cfRule>
    <cfRule type="expression" dxfId="68" priority="34">
      <formula>AND(3&lt;=$C$108,$C$108&lt;5)</formula>
    </cfRule>
  </conditionalFormatting>
  <conditionalFormatting sqref="J51">
    <cfRule type="expression" dxfId="67" priority="5">
      <formula>1&lt;=$J$46</formula>
    </cfRule>
    <cfRule type="expression" dxfId="66" priority="6">
      <formula>AND(0.5&lt;=$J$46,$J$46&lt;1)</formula>
    </cfRule>
    <cfRule type="expression" dxfId="65" priority="7">
      <formula>AND(0&lt;=$J$46,$J$46&lt;0.5)</formula>
    </cfRule>
    <cfRule type="expression" dxfId="64" priority="8">
      <formula>$J$46&lt;0</formula>
    </cfRule>
  </conditionalFormatting>
  <conditionalFormatting sqref="P23">
    <cfRule type="expression" dxfId="63" priority="1">
      <formula>2&lt;=$P$18</formula>
    </cfRule>
    <cfRule type="expression" dxfId="62" priority="4">
      <formula>$P$18&lt;1</formula>
    </cfRule>
    <cfRule type="expression" dxfId="61" priority="3">
      <formula>AND(1&lt;=$P$18,$P$18&lt;1.5)</formula>
    </cfRule>
    <cfRule type="expression" dxfId="60" priority="2">
      <formula>AND(1.5&lt;=$P$18,$P$18&lt;2)</formula>
    </cfRule>
  </conditionalFormatting>
  <conditionalFormatting sqref="P85">
    <cfRule type="expression" dxfId="59" priority="37">
      <formula>0.5&gt;=$P$80</formula>
    </cfRule>
    <cfRule type="expression" dxfId="58" priority="38">
      <formula>AND(0.5&lt;=$P$80,$P$80&lt;1)</formula>
    </cfRule>
    <cfRule type="expression" dxfId="57" priority="39">
      <formula>AND(1&lt;=$P$80,$P$80&lt;1.5)</formula>
    </cfRule>
    <cfRule type="expression" dxfId="56" priority="40">
      <formula>$P$80&gt;1.5</formula>
    </cfRule>
  </conditionalFormatting>
  <conditionalFormatting sqref="P113">
    <cfRule type="expression" dxfId="55" priority="32">
      <formula>$P$108&gt;3</formula>
    </cfRule>
    <cfRule type="expression" dxfId="54" priority="30">
      <formula>AND(1&lt;=$P$108,$P$108&lt;2)</formula>
    </cfRule>
    <cfRule type="expression" dxfId="53" priority="29">
      <formula>1&gt;=$P$108</formula>
    </cfRule>
    <cfRule type="expression" dxfId="52" priority="31">
      <formula>AND(2&lt;=$P$108,$P$108&lt;3)</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80E4-4604-4A14-813D-93041F4D3EB6}">
  <dimension ref="A1:AB96"/>
  <sheetViews>
    <sheetView topLeftCell="A9" zoomScale="61" workbookViewId="0"/>
  </sheetViews>
  <sheetFormatPr defaultColWidth="0" defaultRowHeight="14.45" customHeight="1"/>
  <cols>
    <col min="1"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5"/>
    <row r="12" spans="2:27" ht="21.6"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21.6"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21.6"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21.6" customHeight="1">
      <c r="B15" s="7"/>
      <c r="C15" s="96" t="s">
        <v>47</v>
      </c>
      <c r="D15" s="96"/>
      <c r="E15" s="96"/>
      <c r="F15" s="96"/>
      <c r="G15" s="96"/>
      <c r="H15" s="96"/>
      <c r="I15" s="96"/>
      <c r="J15" s="96"/>
      <c r="K15" s="96"/>
      <c r="L15" s="96"/>
      <c r="M15" s="96"/>
      <c r="N15" s="9"/>
      <c r="O15" s="7"/>
      <c r="P15" s="96" t="s">
        <v>48</v>
      </c>
      <c r="Q15" s="96"/>
      <c r="R15" s="96"/>
      <c r="S15" s="96"/>
      <c r="T15" s="96"/>
      <c r="U15" s="96"/>
      <c r="V15" s="96"/>
      <c r="W15" s="96"/>
      <c r="X15" s="96"/>
      <c r="Y15" s="96"/>
      <c r="Z15" s="96"/>
      <c r="AA15" s="9"/>
    </row>
    <row r="16" spans="2:27" ht="21.6" customHeight="1">
      <c r="B16" s="7"/>
      <c r="C16" s="96"/>
      <c r="D16" s="96"/>
      <c r="E16" s="96"/>
      <c r="F16" s="96"/>
      <c r="G16" s="96"/>
      <c r="H16" s="96"/>
      <c r="I16" s="96"/>
      <c r="J16" s="96"/>
      <c r="K16" s="96"/>
      <c r="L16" s="96"/>
      <c r="M16" s="96"/>
      <c r="N16" s="9"/>
      <c r="O16" s="7"/>
      <c r="P16" s="96"/>
      <c r="Q16" s="96"/>
      <c r="R16" s="96"/>
      <c r="S16" s="96"/>
      <c r="T16" s="96"/>
      <c r="U16" s="96"/>
      <c r="V16" s="96"/>
      <c r="W16" s="96"/>
      <c r="X16" s="96"/>
      <c r="Y16" s="96"/>
      <c r="Z16" s="96"/>
      <c r="AA16" s="9"/>
    </row>
    <row r="17" spans="2:27" ht="21.6" customHeight="1">
      <c r="B17" s="7"/>
      <c r="C17" s="96"/>
      <c r="D17" s="96"/>
      <c r="E17" s="96"/>
      <c r="F17" s="96"/>
      <c r="G17" s="96"/>
      <c r="H17" s="96"/>
      <c r="I17" s="96"/>
      <c r="J17" s="96"/>
      <c r="K17" s="96"/>
      <c r="L17" s="96"/>
      <c r="M17" s="96"/>
      <c r="N17" s="9"/>
      <c r="O17" s="7"/>
      <c r="P17" s="96"/>
      <c r="Q17" s="96"/>
      <c r="R17" s="96"/>
      <c r="S17" s="96"/>
      <c r="T17" s="96"/>
      <c r="U17" s="96"/>
      <c r="V17" s="96"/>
      <c r="W17" s="96"/>
      <c r="X17" s="96"/>
      <c r="Y17" s="96"/>
      <c r="Z17" s="96"/>
      <c r="AA17" s="9"/>
    </row>
    <row r="18" spans="2:27" ht="21.6" customHeight="1">
      <c r="B18" s="7"/>
      <c r="C18" s="108">
        <f>'Financial Statements'!I35</f>
        <v>0.2664179104477612</v>
      </c>
      <c r="D18" s="108"/>
      <c r="E18" s="108"/>
      <c r="F18" s="108"/>
      <c r="G18" s="108"/>
      <c r="H18" s="108"/>
      <c r="I18" s="108"/>
      <c r="J18" s="108"/>
      <c r="K18" s="108"/>
      <c r="L18" s="108"/>
      <c r="M18" s="108"/>
      <c r="N18" s="9"/>
      <c r="O18" s="7"/>
      <c r="P18" s="112">
        <f>'Financial Statements'!I36</f>
        <v>1.0356892120058718E-2</v>
      </c>
      <c r="Q18" s="112"/>
      <c r="R18" s="112"/>
      <c r="S18" s="112"/>
      <c r="T18" s="112"/>
      <c r="U18" s="112"/>
      <c r="V18" s="112"/>
      <c r="W18" s="112"/>
      <c r="X18" s="112"/>
      <c r="Y18" s="112"/>
      <c r="Z18" s="112"/>
      <c r="AA18" s="9"/>
    </row>
    <row r="19" spans="2:27" ht="21.6" customHeight="1">
      <c r="B19" s="7"/>
      <c r="C19" s="108"/>
      <c r="D19" s="108"/>
      <c r="E19" s="108"/>
      <c r="F19" s="108"/>
      <c r="G19" s="108"/>
      <c r="H19" s="108"/>
      <c r="I19" s="108"/>
      <c r="J19" s="108"/>
      <c r="K19" s="108"/>
      <c r="L19" s="108"/>
      <c r="M19" s="108"/>
      <c r="N19" s="9"/>
      <c r="O19" s="7"/>
      <c r="P19" s="112"/>
      <c r="Q19" s="112"/>
      <c r="R19" s="112"/>
      <c r="S19" s="112"/>
      <c r="T19" s="112"/>
      <c r="U19" s="112"/>
      <c r="V19" s="112"/>
      <c r="W19" s="112"/>
      <c r="X19" s="112"/>
      <c r="Y19" s="112"/>
      <c r="Z19" s="112"/>
      <c r="AA19" s="9"/>
    </row>
    <row r="20" spans="2:27" ht="21.6" customHeight="1">
      <c r="B20" s="7"/>
      <c r="C20" s="108"/>
      <c r="D20" s="108"/>
      <c r="E20" s="108"/>
      <c r="F20" s="108"/>
      <c r="G20" s="108"/>
      <c r="H20" s="108"/>
      <c r="I20" s="108"/>
      <c r="J20" s="108"/>
      <c r="K20" s="108"/>
      <c r="L20" s="108"/>
      <c r="M20" s="108"/>
      <c r="N20" s="9"/>
      <c r="O20" s="7"/>
      <c r="P20" s="112"/>
      <c r="Q20" s="112"/>
      <c r="R20" s="112"/>
      <c r="S20" s="112"/>
      <c r="T20" s="112"/>
      <c r="U20" s="112"/>
      <c r="V20" s="112"/>
      <c r="W20" s="112"/>
      <c r="X20" s="112"/>
      <c r="Y20" s="112"/>
      <c r="Z20" s="112"/>
      <c r="AA20" s="9"/>
    </row>
    <row r="21" spans="2:27" ht="21.6" customHeight="1">
      <c r="B21" s="17">
        <v>0.14000000000000001</v>
      </c>
      <c r="C21" s="15" t="str">
        <f>IF(B21&gt;0,"+"&amp;B21,B21)&amp;"% vs 2021"</f>
        <v>+0,14% vs 2021</v>
      </c>
      <c r="D21" s="16"/>
      <c r="E21" s="16"/>
      <c r="F21" s="16"/>
      <c r="G21" s="16"/>
      <c r="H21" s="16"/>
      <c r="I21" s="16"/>
      <c r="J21" s="16"/>
      <c r="K21" s="16"/>
      <c r="L21" s="16"/>
      <c r="M21" s="16"/>
      <c r="N21" s="9"/>
      <c r="O21" s="17">
        <v>-0.14000000000000001</v>
      </c>
      <c r="P21" s="15" t="str">
        <f>IF(O21&gt;0,"+"&amp;O21,O21)&amp;"% vs 2021"</f>
        <v>-0,14% vs 2021</v>
      </c>
      <c r="Q21" s="16"/>
      <c r="R21" s="16"/>
      <c r="S21" s="16"/>
      <c r="T21" s="16"/>
      <c r="U21" s="16"/>
      <c r="V21" s="16"/>
      <c r="W21" s="16"/>
      <c r="X21" s="16"/>
      <c r="Y21" s="16"/>
      <c r="Z21" s="16"/>
      <c r="AA21" s="9"/>
    </row>
    <row r="22" spans="2:27" ht="21.6" customHeight="1">
      <c r="B22" s="17">
        <v>1E-3</v>
      </c>
      <c r="C22" s="14"/>
      <c r="D22" s="14"/>
      <c r="E22" s="14"/>
      <c r="F22" s="14"/>
      <c r="G22" s="8"/>
      <c r="H22" s="8"/>
      <c r="I22" s="8"/>
      <c r="J22" s="8"/>
      <c r="K22" s="8"/>
      <c r="L22" s="8"/>
      <c r="M22" s="8"/>
      <c r="N22" s="9"/>
      <c r="O22" s="17">
        <v>1E-3</v>
      </c>
      <c r="P22" s="14"/>
      <c r="Q22" s="14"/>
      <c r="R22" s="14"/>
      <c r="S22" s="14"/>
      <c r="T22" s="8"/>
      <c r="U22" s="8"/>
      <c r="V22" s="8"/>
      <c r="W22" s="8"/>
      <c r="X22" s="8"/>
      <c r="Y22" s="8"/>
      <c r="Z22" s="8"/>
      <c r="AA22" s="9"/>
    </row>
    <row r="23" spans="2:27" ht="21.6"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21.6"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21.6"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21.6"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21.6"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21.6"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21.6"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21.6"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21.6"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21.6"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21.6"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21.6"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21.6"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21.6"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21.6"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21.6"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21.6"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21.6" customHeight="1">
      <c r="B40" s="4"/>
      <c r="C40" s="5"/>
      <c r="D40" s="5"/>
      <c r="E40" s="5"/>
      <c r="F40" s="5"/>
      <c r="G40" s="5"/>
      <c r="H40" s="5"/>
      <c r="I40" s="5"/>
      <c r="J40" s="5"/>
      <c r="K40" s="5"/>
      <c r="L40" s="5"/>
      <c r="M40" s="5"/>
      <c r="N40" s="6"/>
      <c r="O40" s="4"/>
      <c r="P40" s="5"/>
      <c r="Q40" s="5"/>
      <c r="R40" s="5"/>
      <c r="S40" s="5"/>
      <c r="T40" s="5"/>
      <c r="U40" s="5"/>
      <c r="V40" s="5"/>
      <c r="W40" s="5"/>
      <c r="X40" s="5"/>
      <c r="Y40" s="5"/>
      <c r="Z40" s="5"/>
      <c r="AA40" s="6"/>
    </row>
    <row r="41" spans="2:27" ht="21.6" customHeight="1">
      <c r="B41" s="7"/>
      <c r="C41" s="8"/>
      <c r="D41" s="8"/>
      <c r="E41" s="8"/>
      <c r="F41" s="8"/>
      <c r="G41" s="8"/>
      <c r="H41" s="8"/>
      <c r="I41" s="8"/>
      <c r="J41" s="8"/>
      <c r="K41" s="8"/>
      <c r="L41" s="8"/>
      <c r="M41" s="8"/>
      <c r="N41" s="9"/>
      <c r="O41" s="7"/>
      <c r="P41" s="8"/>
      <c r="Q41" s="8"/>
      <c r="R41" s="8"/>
      <c r="S41" s="8"/>
      <c r="T41" s="8"/>
      <c r="U41" s="8"/>
      <c r="V41" s="8"/>
      <c r="W41" s="8"/>
      <c r="X41" s="8"/>
      <c r="Y41" s="8"/>
      <c r="Z41" s="8"/>
      <c r="AA41" s="9"/>
    </row>
    <row r="42" spans="2:27" ht="21.6" customHeight="1">
      <c r="B42" s="7"/>
      <c r="C42" s="8"/>
      <c r="D42" s="8"/>
      <c r="E42" s="8"/>
      <c r="F42" s="8"/>
      <c r="G42" s="8"/>
      <c r="H42" s="8"/>
      <c r="I42" s="8"/>
      <c r="J42" s="8"/>
      <c r="K42" s="8"/>
      <c r="L42" s="8"/>
      <c r="M42" s="8"/>
      <c r="N42" s="9"/>
      <c r="O42" s="7"/>
      <c r="P42" s="8"/>
      <c r="Q42" s="8"/>
      <c r="R42" s="8"/>
      <c r="S42" s="8"/>
      <c r="T42" s="8"/>
      <c r="U42" s="8"/>
      <c r="V42" s="8"/>
      <c r="W42" s="8"/>
      <c r="X42" s="8"/>
      <c r="Y42" s="8"/>
      <c r="Z42" s="8"/>
      <c r="AA42" s="9"/>
    </row>
    <row r="43" spans="2:27" ht="21.6" customHeight="1">
      <c r="B43" s="7"/>
      <c r="C43" s="96" t="s">
        <v>49</v>
      </c>
      <c r="D43" s="96"/>
      <c r="E43" s="96"/>
      <c r="F43" s="96"/>
      <c r="G43" s="96"/>
      <c r="H43" s="96"/>
      <c r="I43" s="96"/>
      <c r="J43" s="96"/>
      <c r="K43" s="96"/>
      <c r="L43" s="96"/>
      <c r="M43" s="96"/>
      <c r="N43" s="9"/>
      <c r="O43" s="7"/>
      <c r="P43" s="96" t="s">
        <v>50</v>
      </c>
      <c r="Q43" s="96"/>
      <c r="R43" s="96"/>
      <c r="S43" s="96"/>
      <c r="T43" s="96"/>
      <c r="U43" s="96"/>
      <c r="V43" s="96"/>
      <c r="W43" s="96"/>
      <c r="X43" s="96"/>
      <c r="Y43" s="96"/>
      <c r="Z43" s="96"/>
      <c r="AA43" s="9"/>
    </row>
    <row r="44" spans="2:27" ht="21.6" customHeight="1">
      <c r="B44" s="7"/>
      <c r="C44" s="96"/>
      <c r="D44" s="96"/>
      <c r="E44" s="96"/>
      <c r="F44" s="96"/>
      <c r="G44" s="96"/>
      <c r="H44" s="96"/>
      <c r="I44" s="96"/>
      <c r="J44" s="96"/>
      <c r="K44" s="96"/>
      <c r="L44" s="96"/>
      <c r="M44" s="96"/>
      <c r="N44" s="9"/>
      <c r="O44" s="7"/>
      <c r="P44" s="96"/>
      <c r="Q44" s="96"/>
      <c r="R44" s="96"/>
      <c r="S44" s="96"/>
      <c r="T44" s="96"/>
      <c r="U44" s="96"/>
      <c r="V44" s="96"/>
      <c r="W44" s="96"/>
      <c r="X44" s="96"/>
      <c r="Y44" s="96"/>
      <c r="Z44" s="96"/>
      <c r="AA44" s="9"/>
    </row>
    <row r="45" spans="2:27" ht="21.6" customHeight="1">
      <c r="B45" s="7"/>
      <c r="C45" s="96"/>
      <c r="D45" s="96"/>
      <c r="E45" s="96"/>
      <c r="F45" s="96"/>
      <c r="G45" s="96"/>
      <c r="H45" s="96"/>
      <c r="I45" s="96"/>
      <c r="J45" s="96"/>
      <c r="K45" s="96"/>
      <c r="L45" s="96"/>
      <c r="M45" s="96"/>
      <c r="N45" s="9"/>
      <c r="O45" s="7"/>
      <c r="P45" s="96"/>
      <c r="Q45" s="96"/>
      <c r="R45" s="96"/>
      <c r="S45" s="96"/>
      <c r="T45" s="96"/>
      <c r="U45" s="96"/>
      <c r="V45" s="96"/>
      <c r="W45" s="96"/>
      <c r="X45" s="96"/>
      <c r="Y45" s="96"/>
      <c r="Z45" s="96"/>
      <c r="AA45" s="9"/>
    </row>
    <row r="46" spans="2:27" ht="21.6" customHeight="1">
      <c r="B46" s="7"/>
      <c r="C46" s="108">
        <f>'Financial Statements'!I37</f>
        <v>7.5027995520716688</v>
      </c>
      <c r="D46" s="108"/>
      <c r="E46" s="108"/>
      <c r="F46" s="14"/>
      <c r="G46" s="8"/>
      <c r="H46" s="8"/>
      <c r="I46" s="8"/>
      <c r="J46" s="8"/>
      <c r="K46" s="8"/>
      <c r="L46" s="8"/>
      <c r="M46" s="8"/>
      <c r="N46" s="9"/>
      <c r="O46" s="7"/>
      <c r="P46" s="109">
        <f>'Financial Statements'!I38</f>
        <v>25.723731343283582</v>
      </c>
      <c r="Q46" s="109"/>
      <c r="R46" s="109"/>
      <c r="S46" s="14"/>
      <c r="T46" s="8"/>
      <c r="U46" s="8"/>
      <c r="V46" s="8"/>
      <c r="W46" s="8"/>
      <c r="X46" s="8"/>
      <c r="Y46" s="8"/>
      <c r="Z46" s="8"/>
      <c r="AA46" s="9"/>
    </row>
    <row r="47" spans="2:27" ht="21.6" customHeight="1">
      <c r="B47" s="7"/>
      <c r="C47" s="108"/>
      <c r="D47" s="108"/>
      <c r="E47" s="108"/>
      <c r="F47" s="14"/>
      <c r="G47" s="8"/>
      <c r="H47" s="8"/>
      <c r="I47" s="8"/>
      <c r="J47" s="8"/>
      <c r="K47" s="8"/>
      <c r="L47" s="8"/>
      <c r="M47" s="8"/>
      <c r="N47" s="9"/>
      <c r="O47" s="7"/>
      <c r="P47" s="109"/>
      <c r="Q47" s="109"/>
      <c r="R47" s="109"/>
      <c r="S47" s="14"/>
      <c r="T47" s="8"/>
      <c r="U47" s="8"/>
      <c r="V47" s="8"/>
      <c r="W47" s="8"/>
      <c r="X47" s="8"/>
      <c r="Y47" s="8"/>
      <c r="Z47" s="8"/>
      <c r="AA47" s="9"/>
    </row>
    <row r="48" spans="2:27" ht="21.6" customHeight="1">
      <c r="B48" s="7"/>
      <c r="C48" s="108"/>
      <c r="D48" s="108"/>
      <c r="E48" s="108"/>
      <c r="F48" s="14"/>
      <c r="G48" s="8"/>
      <c r="H48" s="8"/>
      <c r="I48" s="8"/>
      <c r="J48" s="8"/>
      <c r="K48" s="8"/>
      <c r="L48" s="8"/>
      <c r="M48" s="8"/>
      <c r="N48" s="9"/>
      <c r="O48" s="7"/>
      <c r="P48" s="109"/>
      <c r="Q48" s="109"/>
      <c r="R48" s="109"/>
      <c r="S48" s="14"/>
      <c r="T48" s="8"/>
      <c r="U48" s="8"/>
      <c r="V48" s="8"/>
      <c r="W48" s="8"/>
      <c r="X48" s="8"/>
      <c r="Y48" s="8"/>
      <c r="Z48" s="8"/>
      <c r="AA48" s="9"/>
    </row>
    <row r="49" spans="2:27" ht="21.6" customHeight="1">
      <c r="B49" s="17">
        <v>-0.12</v>
      </c>
      <c r="C49" s="15" t="str">
        <f>IF(B49&gt;0,"+"&amp;B49,B49)&amp;"% vs 2021"</f>
        <v>-0,12% vs 2021</v>
      </c>
      <c r="D49" s="16"/>
      <c r="E49" s="16"/>
      <c r="F49" s="16"/>
      <c r="G49" s="16"/>
      <c r="H49" s="16"/>
      <c r="I49" s="16"/>
      <c r="J49" s="16"/>
      <c r="K49" s="16"/>
      <c r="L49" s="16"/>
      <c r="M49" s="16"/>
      <c r="N49" s="9"/>
      <c r="O49" s="17">
        <v>0.13</v>
      </c>
      <c r="P49" s="15" t="str">
        <f>IF(O49&gt;0,"+"&amp;O49,O49)&amp;"% vs 2021"</f>
        <v>+0,13% vs 2021</v>
      </c>
      <c r="Q49" s="16"/>
      <c r="R49" s="16"/>
      <c r="S49" s="16"/>
      <c r="T49" s="16"/>
      <c r="U49" s="16"/>
      <c r="V49" s="16"/>
      <c r="W49" s="16"/>
      <c r="X49" s="16"/>
      <c r="Y49" s="16"/>
      <c r="Z49" s="16"/>
      <c r="AA49" s="9"/>
    </row>
    <row r="50" spans="2:27" ht="21.6" customHeight="1">
      <c r="B50" s="7"/>
      <c r="C50" s="14"/>
      <c r="D50" s="14"/>
      <c r="E50" s="14"/>
      <c r="F50" s="14"/>
      <c r="G50" s="8"/>
      <c r="H50" s="8"/>
      <c r="I50" s="8"/>
      <c r="J50" s="8"/>
      <c r="K50" s="8"/>
      <c r="L50" s="8"/>
      <c r="M50" s="8"/>
      <c r="N50" s="9"/>
      <c r="O50" s="7"/>
      <c r="P50" s="14"/>
      <c r="Q50" s="14"/>
      <c r="R50" s="14"/>
      <c r="S50" s="14"/>
      <c r="T50" s="8"/>
      <c r="U50" s="8"/>
      <c r="V50" s="8"/>
      <c r="W50" s="8"/>
      <c r="X50" s="8"/>
      <c r="Y50" s="8"/>
      <c r="Z50" s="8"/>
      <c r="AA50" s="9"/>
    </row>
    <row r="51" spans="2:27" ht="21.6" customHeight="1">
      <c r="B51" s="7"/>
      <c r="C51" s="95"/>
      <c r="D51" s="95"/>
      <c r="E51" s="95"/>
      <c r="F51" s="95"/>
      <c r="G51" s="95"/>
      <c r="H51" s="95"/>
      <c r="I51" s="95"/>
      <c r="J51" s="95"/>
      <c r="K51" s="95"/>
      <c r="L51" s="95"/>
      <c r="M51" s="95"/>
      <c r="N51" s="9"/>
      <c r="O51" s="7"/>
      <c r="P51" s="95"/>
      <c r="Q51" s="95"/>
      <c r="R51" s="95"/>
      <c r="S51" s="95"/>
      <c r="T51" s="95"/>
      <c r="U51" s="95"/>
      <c r="V51" s="95"/>
      <c r="W51" s="95"/>
      <c r="X51" s="95"/>
      <c r="Y51" s="95"/>
      <c r="Z51" s="95"/>
      <c r="AA51" s="9"/>
    </row>
    <row r="52" spans="2:27" ht="21.6" customHeight="1">
      <c r="B52" s="7"/>
      <c r="C52" s="8"/>
      <c r="D52" s="8"/>
      <c r="E52" s="8"/>
      <c r="F52" s="8"/>
      <c r="G52" s="8"/>
      <c r="H52" s="8"/>
      <c r="I52" s="8"/>
      <c r="J52" s="8"/>
      <c r="K52" s="8"/>
      <c r="L52" s="8"/>
      <c r="M52" s="8"/>
      <c r="N52" s="9"/>
      <c r="O52" s="7"/>
      <c r="P52" s="8"/>
      <c r="Q52" s="8"/>
      <c r="R52" s="8"/>
      <c r="S52" s="8"/>
      <c r="T52" s="8"/>
      <c r="U52" s="8"/>
      <c r="V52" s="8"/>
      <c r="W52" s="8"/>
      <c r="X52" s="8"/>
      <c r="Y52" s="8"/>
      <c r="Z52" s="8"/>
      <c r="AA52" s="9"/>
    </row>
    <row r="53" spans="2:27" ht="21.6" customHeight="1">
      <c r="B53" s="10"/>
      <c r="C53" s="11"/>
      <c r="D53" s="11"/>
      <c r="E53" s="11"/>
      <c r="F53" s="11"/>
      <c r="G53" s="11"/>
      <c r="H53" s="11"/>
      <c r="I53" s="11"/>
      <c r="J53" s="11"/>
      <c r="K53" s="11"/>
      <c r="L53" s="11"/>
      <c r="M53" s="11"/>
      <c r="N53" s="12"/>
      <c r="O53" s="10"/>
      <c r="P53" s="11"/>
      <c r="Q53" s="11"/>
      <c r="R53" s="11"/>
      <c r="S53" s="11"/>
      <c r="T53" s="11"/>
      <c r="U53" s="11"/>
      <c r="V53" s="11"/>
      <c r="W53" s="11"/>
      <c r="X53" s="11"/>
      <c r="Y53" s="11"/>
      <c r="Z53" s="11"/>
      <c r="AA53" s="12"/>
    </row>
    <row r="54" spans="2:27" ht="21.6" customHeight="1">
      <c r="B54" s="4"/>
      <c r="C54" s="5"/>
      <c r="D54" s="5"/>
      <c r="E54" s="5"/>
      <c r="F54" s="5"/>
      <c r="G54" s="5"/>
      <c r="H54" s="5"/>
      <c r="I54" s="5"/>
      <c r="J54" s="5"/>
      <c r="K54" s="5"/>
      <c r="L54" s="5"/>
      <c r="M54" s="5"/>
      <c r="N54" s="6"/>
      <c r="O54" s="4"/>
      <c r="P54" s="5"/>
      <c r="Q54" s="5"/>
      <c r="R54" s="5"/>
      <c r="S54" s="5"/>
      <c r="T54" s="5"/>
      <c r="U54" s="5"/>
      <c r="V54" s="5"/>
      <c r="W54" s="5"/>
      <c r="X54" s="5"/>
      <c r="Y54" s="5"/>
      <c r="Z54" s="5"/>
      <c r="AA54" s="6"/>
    </row>
    <row r="55" spans="2:27" ht="21.6" customHeight="1">
      <c r="B55" s="7"/>
      <c r="C55" s="8"/>
      <c r="D55" s="8"/>
      <c r="E55" s="8"/>
      <c r="F55" s="8"/>
      <c r="G55" s="8"/>
      <c r="H55" s="8"/>
      <c r="I55" s="8"/>
      <c r="J55" s="8"/>
      <c r="K55" s="8"/>
      <c r="L55" s="8"/>
      <c r="M55" s="8"/>
      <c r="N55" s="9"/>
      <c r="O55" s="7"/>
      <c r="P55" s="8"/>
      <c r="Q55" s="8"/>
      <c r="R55" s="8"/>
      <c r="S55" s="8"/>
      <c r="T55" s="8"/>
      <c r="U55" s="8"/>
      <c r="V55" s="8"/>
      <c r="W55" s="8"/>
      <c r="X55" s="8"/>
      <c r="Y55" s="8"/>
      <c r="Z55" s="8"/>
      <c r="AA55" s="9"/>
    </row>
    <row r="56" spans="2:27" ht="21.6" customHeight="1">
      <c r="B56" s="7"/>
      <c r="C56" s="8"/>
      <c r="D56" s="8"/>
      <c r="E56" s="8"/>
      <c r="F56" s="8"/>
      <c r="G56" s="8"/>
      <c r="H56" s="8"/>
      <c r="I56" s="8"/>
      <c r="J56" s="8"/>
      <c r="K56" s="8"/>
      <c r="L56" s="8"/>
      <c r="M56" s="8"/>
      <c r="N56" s="9"/>
      <c r="O56" s="7"/>
      <c r="P56" s="8"/>
      <c r="Q56" s="8"/>
      <c r="R56" s="8"/>
      <c r="S56" s="8"/>
      <c r="T56" s="8"/>
      <c r="U56" s="8"/>
      <c r="V56" s="8"/>
      <c r="W56" s="8"/>
      <c r="X56" s="8"/>
      <c r="Y56" s="8"/>
      <c r="Z56" s="8"/>
      <c r="AA56" s="9"/>
    </row>
    <row r="57" spans="2:27" ht="21.6" customHeight="1">
      <c r="B57" s="7"/>
      <c r="C57" s="19"/>
      <c r="D57" s="19"/>
      <c r="E57" s="19"/>
      <c r="F57" s="19"/>
      <c r="G57" s="19"/>
      <c r="H57" s="19"/>
      <c r="I57" s="19"/>
      <c r="J57" s="19"/>
      <c r="K57" s="19"/>
      <c r="L57" s="19"/>
      <c r="M57" s="19"/>
      <c r="N57" s="9"/>
      <c r="O57" s="7"/>
      <c r="P57" s="19"/>
      <c r="Q57" s="19"/>
      <c r="R57" s="19"/>
      <c r="S57" s="19"/>
      <c r="T57" s="19"/>
      <c r="U57" s="19"/>
      <c r="V57" s="19"/>
      <c r="W57" s="19"/>
      <c r="X57" s="19"/>
      <c r="Y57" s="19"/>
      <c r="Z57" s="19"/>
      <c r="AA57" s="9"/>
    </row>
    <row r="58" spans="2:27" ht="21.6" customHeight="1">
      <c r="B58" s="7"/>
      <c r="C58" s="19"/>
      <c r="D58" s="19"/>
      <c r="E58" s="19"/>
      <c r="F58" s="19"/>
      <c r="G58" s="19"/>
      <c r="H58" s="19"/>
      <c r="I58" s="19"/>
      <c r="J58" s="19"/>
      <c r="K58" s="19"/>
      <c r="L58" s="19"/>
      <c r="M58" s="19"/>
      <c r="N58" s="9"/>
      <c r="O58" s="7"/>
      <c r="P58" s="19"/>
      <c r="Q58" s="19"/>
      <c r="R58" s="19"/>
      <c r="S58" s="19"/>
      <c r="T58" s="19"/>
      <c r="U58" s="19"/>
      <c r="V58" s="19"/>
      <c r="W58" s="19"/>
      <c r="X58" s="19"/>
      <c r="Y58" s="19"/>
      <c r="Z58" s="19"/>
      <c r="AA58" s="9"/>
    </row>
    <row r="59" spans="2:27" ht="21.6" customHeight="1">
      <c r="B59" s="7"/>
      <c r="C59" s="19"/>
      <c r="D59" s="19"/>
      <c r="E59" s="19"/>
      <c r="F59" s="19"/>
      <c r="G59" s="19"/>
      <c r="H59" s="19"/>
      <c r="I59" s="19"/>
      <c r="J59" s="19"/>
      <c r="K59" s="19"/>
      <c r="L59" s="19"/>
      <c r="M59" s="19"/>
      <c r="N59" s="9"/>
      <c r="O59" s="7"/>
      <c r="P59" s="19"/>
      <c r="Q59" s="19"/>
      <c r="R59" s="19"/>
      <c r="S59" s="19"/>
      <c r="T59" s="19"/>
      <c r="U59" s="19"/>
      <c r="V59" s="19"/>
      <c r="W59" s="19"/>
      <c r="X59" s="19"/>
      <c r="Y59" s="19"/>
      <c r="Z59" s="19"/>
      <c r="AA59" s="9"/>
    </row>
    <row r="60" spans="2:27" ht="21.6" customHeight="1">
      <c r="B60" s="7"/>
      <c r="C60" s="19"/>
      <c r="D60" s="19"/>
      <c r="E60" s="19"/>
      <c r="F60" s="19"/>
      <c r="G60" s="19"/>
      <c r="H60" s="19"/>
      <c r="I60" s="19"/>
      <c r="J60" s="19"/>
      <c r="K60" s="19"/>
      <c r="L60" s="19"/>
      <c r="M60" s="19"/>
      <c r="N60" s="9"/>
      <c r="O60" s="7"/>
      <c r="P60" s="19"/>
      <c r="Q60" s="19"/>
      <c r="R60" s="19"/>
      <c r="S60" s="19"/>
      <c r="T60" s="19"/>
      <c r="U60" s="19"/>
      <c r="V60" s="19"/>
      <c r="W60" s="19"/>
      <c r="X60" s="19"/>
      <c r="Y60" s="19"/>
      <c r="Z60" s="19"/>
      <c r="AA60" s="9"/>
    </row>
    <row r="61" spans="2:27" ht="21.6" customHeight="1">
      <c r="B61" s="7"/>
      <c r="C61" s="19"/>
      <c r="D61" s="19"/>
      <c r="E61" s="19"/>
      <c r="F61" s="19"/>
      <c r="G61" s="19"/>
      <c r="H61" s="19"/>
      <c r="I61" s="19"/>
      <c r="J61" s="19"/>
      <c r="K61" s="19"/>
      <c r="L61" s="19"/>
      <c r="M61" s="19"/>
      <c r="N61" s="9"/>
      <c r="O61" s="7"/>
      <c r="P61" s="19"/>
      <c r="Q61" s="19"/>
      <c r="R61" s="19"/>
      <c r="S61" s="19"/>
      <c r="T61" s="19"/>
      <c r="U61" s="19"/>
      <c r="V61" s="19"/>
      <c r="W61" s="19"/>
      <c r="X61" s="19"/>
      <c r="Y61" s="19"/>
      <c r="Z61" s="19"/>
      <c r="AA61" s="9"/>
    </row>
    <row r="62" spans="2:27" ht="21.6" customHeight="1">
      <c r="B62" s="7"/>
      <c r="C62" s="19"/>
      <c r="D62" s="19"/>
      <c r="E62" s="19"/>
      <c r="F62" s="19"/>
      <c r="G62" s="19"/>
      <c r="H62" s="19"/>
      <c r="I62" s="19"/>
      <c r="J62" s="19"/>
      <c r="K62" s="19"/>
      <c r="L62" s="19"/>
      <c r="M62" s="19"/>
      <c r="N62" s="9"/>
      <c r="O62" s="7"/>
      <c r="P62" s="19"/>
      <c r="Q62" s="19"/>
      <c r="R62" s="19"/>
      <c r="S62" s="19"/>
      <c r="T62" s="19"/>
      <c r="U62" s="19"/>
      <c r="V62" s="19"/>
      <c r="W62" s="19"/>
      <c r="X62" s="19"/>
      <c r="Y62" s="19"/>
      <c r="Z62" s="19"/>
      <c r="AA62" s="9"/>
    </row>
    <row r="63" spans="2:27" ht="21.6" customHeight="1">
      <c r="B63" s="17">
        <v>7.0000000000000007E-2</v>
      </c>
      <c r="C63" s="19"/>
      <c r="D63" s="19"/>
      <c r="E63" s="19"/>
      <c r="F63" s="19"/>
      <c r="G63" s="19"/>
      <c r="H63" s="19"/>
      <c r="I63" s="19"/>
      <c r="J63" s="19"/>
      <c r="K63" s="19"/>
      <c r="L63" s="19"/>
      <c r="M63" s="19"/>
      <c r="N63" s="9"/>
      <c r="O63" s="17">
        <v>7.0000000000000007E-2</v>
      </c>
      <c r="P63" s="19"/>
      <c r="Q63" s="19"/>
      <c r="R63" s="19"/>
      <c r="S63" s="19"/>
      <c r="T63" s="19"/>
      <c r="U63" s="19"/>
      <c r="V63" s="19"/>
      <c r="W63" s="19"/>
      <c r="X63" s="19"/>
      <c r="Y63" s="19"/>
      <c r="Z63" s="19"/>
      <c r="AA63" s="9"/>
    </row>
    <row r="64" spans="2:27" ht="21.6" customHeight="1">
      <c r="B64" s="7"/>
      <c r="C64" s="19"/>
      <c r="D64" s="19"/>
      <c r="E64" s="19"/>
      <c r="F64" s="19"/>
      <c r="G64" s="19"/>
      <c r="H64" s="19"/>
      <c r="I64" s="19"/>
      <c r="J64" s="19"/>
      <c r="K64" s="19"/>
      <c r="L64" s="19"/>
      <c r="M64" s="19"/>
      <c r="N64" s="9"/>
      <c r="O64" s="7"/>
      <c r="P64" s="19"/>
      <c r="Q64" s="19"/>
      <c r="R64" s="19"/>
      <c r="S64" s="19"/>
      <c r="T64" s="19"/>
      <c r="U64" s="19"/>
      <c r="V64" s="19"/>
      <c r="W64" s="19"/>
      <c r="X64" s="19"/>
      <c r="Y64" s="19"/>
      <c r="Z64" s="19"/>
      <c r="AA64" s="9"/>
    </row>
    <row r="65" spans="2:27" ht="20.100000000000001" customHeight="1">
      <c r="B65" s="7"/>
      <c r="C65" s="19"/>
      <c r="D65" s="19"/>
      <c r="E65" s="19"/>
      <c r="F65" s="19"/>
      <c r="G65" s="19"/>
      <c r="H65" s="19"/>
      <c r="I65" s="19"/>
      <c r="J65" s="19"/>
      <c r="K65" s="19"/>
      <c r="L65" s="19"/>
      <c r="M65" s="19"/>
      <c r="N65" s="9"/>
      <c r="O65" s="7"/>
      <c r="P65" s="19"/>
      <c r="Q65" s="19"/>
      <c r="R65" s="19"/>
      <c r="S65" s="19"/>
      <c r="T65" s="19"/>
      <c r="U65" s="19"/>
      <c r="V65" s="19"/>
      <c r="W65" s="19"/>
      <c r="X65" s="19"/>
      <c r="Y65" s="19"/>
      <c r="Z65" s="19"/>
      <c r="AA65" s="9"/>
    </row>
    <row r="66" spans="2:27" ht="20.100000000000001" customHeight="1">
      <c r="B66" s="7"/>
      <c r="C66" s="8"/>
      <c r="D66" s="8"/>
      <c r="E66" s="8"/>
      <c r="F66" s="8"/>
      <c r="G66" s="8"/>
      <c r="H66" s="8"/>
      <c r="I66" s="8"/>
      <c r="J66" s="8"/>
      <c r="K66" s="8"/>
      <c r="L66" s="8"/>
      <c r="M66" s="8"/>
      <c r="N66" s="9"/>
      <c r="O66" s="7"/>
      <c r="P66" s="8"/>
      <c r="Q66" s="8"/>
      <c r="R66" s="8"/>
      <c r="S66" s="8"/>
      <c r="T66" s="8"/>
      <c r="U66" s="8"/>
      <c r="V66" s="8"/>
      <c r="W66" s="8"/>
      <c r="X66" s="8"/>
      <c r="Y66" s="8"/>
      <c r="Z66" s="8"/>
      <c r="AA66" s="9"/>
    </row>
    <row r="67" spans="2:27" ht="20.100000000000001" customHeight="1">
      <c r="B67" s="10"/>
      <c r="C67" s="11"/>
      <c r="D67" s="11"/>
      <c r="E67" s="11"/>
      <c r="F67" s="11"/>
      <c r="G67" s="11"/>
      <c r="H67" s="11"/>
      <c r="I67" s="11"/>
      <c r="J67" s="11"/>
      <c r="K67" s="11"/>
      <c r="L67" s="11"/>
      <c r="M67" s="11"/>
      <c r="N67" s="12"/>
      <c r="O67" s="10"/>
      <c r="P67" s="11"/>
      <c r="Q67" s="11"/>
      <c r="R67" s="11"/>
      <c r="S67" s="11"/>
      <c r="T67" s="11"/>
      <c r="U67" s="11"/>
      <c r="V67" s="11"/>
      <c r="W67" s="11"/>
      <c r="X67" s="11"/>
      <c r="Y67" s="11"/>
      <c r="Z67" s="11"/>
      <c r="AA67" s="12"/>
    </row>
    <row r="68" spans="2:27" ht="20.100000000000001" customHeight="1">
      <c r="I68" s="4"/>
      <c r="J68" s="5"/>
      <c r="K68" s="5"/>
      <c r="L68" s="5"/>
      <c r="M68" s="5"/>
      <c r="N68" s="5"/>
      <c r="O68" s="5"/>
      <c r="P68" s="5"/>
      <c r="Q68" s="5"/>
      <c r="R68" s="5"/>
      <c r="S68" s="5"/>
      <c r="T68" s="5"/>
      <c r="U68" s="6"/>
    </row>
    <row r="69" spans="2:27" ht="20.100000000000001" customHeight="1">
      <c r="I69" s="7"/>
      <c r="J69" s="8"/>
      <c r="K69" s="8"/>
      <c r="L69" s="8"/>
      <c r="M69" s="8"/>
      <c r="N69" s="8"/>
      <c r="O69" s="8"/>
      <c r="P69" s="8"/>
      <c r="Q69" s="8"/>
      <c r="R69" s="8"/>
      <c r="S69" s="8"/>
      <c r="T69" s="8"/>
      <c r="U69" s="9"/>
    </row>
    <row r="70" spans="2:27" ht="20.100000000000001" customHeight="1">
      <c r="I70" s="7"/>
      <c r="J70" s="8"/>
      <c r="K70" s="8"/>
      <c r="L70" s="8"/>
      <c r="M70" s="8"/>
      <c r="N70" s="8"/>
      <c r="O70" s="8"/>
      <c r="P70" s="8"/>
      <c r="Q70" s="8"/>
      <c r="R70" s="8"/>
      <c r="S70" s="8"/>
      <c r="T70" s="8"/>
      <c r="U70" s="9"/>
    </row>
    <row r="71" spans="2:27" ht="20.100000000000001" customHeight="1">
      <c r="I71" s="7"/>
      <c r="J71" s="96" t="s">
        <v>51</v>
      </c>
      <c r="K71" s="96"/>
      <c r="L71" s="96"/>
      <c r="M71" s="96"/>
      <c r="N71" s="96"/>
      <c r="O71" s="96"/>
      <c r="P71" s="96"/>
      <c r="Q71" s="96"/>
      <c r="R71" s="96"/>
      <c r="S71" s="96"/>
      <c r="T71" s="96"/>
      <c r="U71" s="9"/>
    </row>
    <row r="72" spans="2:27" ht="20.100000000000001" customHeight="1">
      <c r="I72" s="7"/>
      <c r="J72" s="96"/>
      <c r="K72" s="96"/>
      <c r="L72" s="96"/>
      <c r="M72" s="96"/>
      <c r="N72" s="96"/>
      <c r="O72" s="96"/>
      <c r="P72" s="96"/>
      <c r="Q72" s="96"/>
      <c r="R72" s="96"/>
      <c r="S72" s="96"/>
      <c r="T72" s="96"/>
      <c r="U72" s="9"/>
    </row>
    <row r="73" spans="2:27" ht="20.100000000000001" customHeight="1">
      <c r="I73" s="7"/>
      <c r="J73" s="96"/>
      <c r="K73" s="96"/>
      <c r="L73" s="96"/>
      <c r="M73" s="96"/>
      <c r="N73" s="96"/>
      <c r="O73" s="96"/>
      <c r="P73" s="96"/>
      <c r="Q73" s="96"/>
      <c r="R73" s="96"/>
      <c r="S73" s="96"/>
      <c r="T73" s="96"/>
      <c r="U73" s="9"/>
    </row>
    <row r="74" spans="2:27" ht="20.100000000000001" customHeight="1">
      <c r="I74" s="7"/>
      <c r="J74" s="109">
        <f>'Financial Statements'!I39</f>
        <v>5.9677631578947361</v>
      </c>
      <c r="K74" s="109"/>
      <c r="L74" s="109"/>
      <c r="M74" s="14"/>
      <c r="N74" s="8"/>
      <c r="O74" s="8"/>
      <c r="P74" s="8"/>
      <c r="Q74" s="8"/>
      <c r="R74" s="8"/>
      <c r="S74" s="8"/>
      <c r="T74" s="8"/>
      <c r="U74" s="9"/>
    </row>
    <row r="75" spans="2:27" ht="20.100000000000001" customHeight="1">
      <c r="I75" s="7"/>
      <c r="J75" s="109"/>
      <c r="K75" s="109"/>
      <c r="L75" s="109"/>
      <c r="M75" s="14"/>
      <c r="N75" s="8"/>
      <c r="O75" s="8"/>
      <c r="P75" s="8"/>
      <c r="Q75" s="8"/>
      <c r="R75" s="8"/>
      <c r="S75" s="8"/>
      <c r="T75" s="8"/>
      <c r="U75" s="9"/>
    </row>
    <row r="76" spans="2:27" ht="20.100000000000001" customHeight="1">
      <c r="I76" s="7"/>
      <c r="J76" s="109"/>
      <c r="K76" s="109"/>
      <c r="L76" s="109"/>
      <c r="M76" s="14"/>
      <c r="N76" s="8"/>
      <c r="O76" s="8"/>
      <c r="P76" s="8"/>
      <c r="Q76" s="8"/>
      <c r="R76" s="8"/>
      <c r="S76" s="8"/>
      <c r="T76" s="8"/>
      <c r="U76" s="9"/>
    </row>
    <row r="77" spans="2:27" ht="20.100000000000001" customHeight="1">
      <c r="I77" s="17">
        <v>0.13</v>
      </c>
      <c r="J77" s="15" t="str">
        <f>IF(I77&gt;0,"+"&amp;I77,I77)&amp;"% vs 2021"</f>
        <v>+0,13% vs 2021</v>
      </c>
      <c r="K77" s="16"/>
      <c r="L77" s="16"/>
      <c r="M77" s="16"/>
      <c r="N77" s="16"/>
      <c r="O77" s="16"/>
      <c r="P77" s="16"/>
      <c r="Q77" s="16"/>
      <c r="R77" s="16"/>
      <c r="S77" s="16"/>
      <c r="T77" s="16"/>
      <c r="U77" s="9"/>
    </row>
    <row r="78" spans="2:27" ht="20.100000000000001" customHeight="1">
      <c r="I78" s="7"/>
      <c r="J78" s="14"/>
      <c r="K78" s="14"/>
      <c r="L78" s="14"/>
      <c r="M78" s="14"/>
      <c r="N78" s="8"/>
      <c r="O78" s="8"/>
      <c r="P78" s="8"/>
      <c r="Q78" s="8"/>
      <c r="R78" s="8"/>
      <c r="S78" s="8"/>
      <c r="T78" s="8"/>
      <c r="U78" s="9"/>
    </row>
    <row r="79" spans="2:27" ht="20.100000000000001" customHeight="1">
      <c r="I79" s="7"/>
      <c r="J79" s="95"/>
      <c r="K79" s="95"/>
      <c r="L79" s="95"/>
      <c r="M79" s="95"/>
      <c r="N79" s="95"/>
      <c r="O79" s="95"/>
      <c r="P79" s="95"/>
      <c r="Q79" s="95"/>
      <c r="R79" s="95"/>
      <c r="S79" s="95"/>
      <c r="T79" s="95"/>
      <c r="U79" s="9"/>
    </row>
    <row r="80" spans="2:27" ht="20.100000000000001" customHeight="1">
      <c r="I80" s="7"/>
      <c r="J80" s="8"/>
      <c r="K80" s="8"/>
      <c r="L80" s="8"/>
      <c r="M80" s="8"/>
      <c r="N80" s="8"/>
      <c r="O80" s="8"/>
      <c r="P80" s="8"/>
      <c r="Q80" s="8"/>
      <c r="R80" s="8"/>
      <c r="S80" s="8"/>
      <c r="T80" s="8"/>
      <c r="U80" s="9"/>
    </row>
    <row r="81" spans="9:21" ht="20.100000000000001" customHeight="1">
      <c r="I81" s="10"/>
      <c r="J81" s="11"/>
      <c r="K81" s="11"/>
      <c r="L81" s="11"/>
      <c r="M81" s="11"/>
      <c r="N81" s="11"/>
      <c r="O81" s="11"/>
      <c r="P81" s="11"/>
      <c r="Q81" s="11"/>
      <c r="R81" s="11"/>
      <c r="S81" s="11"/>
      <c r="T81" s="11"/>
      <c r="U81" s="12"/>
    </row>
    <row r="82" spans="9:21" ht="20.100000000000001" customHeight="1">
      <c r="I82" s="4"/>
      <c r="J82" s="5"/>
      <c r="K82" s="5"/>
      <c r="L82" s="5"/>
      <c r="M82" s="5"/>
      <c r="N82" s="5"/>
      <c r="O82" s="5"/>
      <c r="P82" s="5"/>
      <c r="Q82" s="5"/>
      <c r="R82" s="5"/>
      <c r="S82" s="5"/>
      <c r="T82" s="5"/>
      <c r="U82" s="6"/>
    </row>
    <row r="83" spans="9:21" ht="20.100000000000001" customHeight="1">
      <c r="I83" s="7"/>
      <c r="J83" s="8"/>
      <c r="K83" s="8"/>
      <c r="L83" s="8"/>
      <c r="M83" s="8"/>
      <c r="N83" s="8"/>
      <c r="O83" s="8"/>
      <c r="P83" s="8"/>
      <c r="Q83" s="8"/>
      <c r="R83" s="8"/>
      <c r="S83" s="8"/>
      <c r="T83" s="8"/>
      <c r="U83" s="9"/>
    </row>
    <row r="84" spans="9:21" ht="20.100000000000001" customHeight="1">
      <c r="I84" s="7"/>
      <c r="J84" s="8"/>
      <c r="K84" s="8"/>
      <c r="L84" s="8"/>
      <c r="M84" s="8"/>
      <c r="N84" s="8"/>
      <c r="O84" s="8"/>
      <c r="P84" s="8"/>
      <c r="Q84" s="8"/>
      <c r="R84" s="8"/>
      <c r="S84" s="8"/>
      <c r="T84" s="8"/>
      <c r="U84" s="9"/>
    </row>
    <row r="85" spans="9:21" ht="20.100000000000001" customHeight="1">
      <c r="I85" s="7"/>
      <c r="J85" s="19"/>
      <c r="K85" s="19"/>
      <c r="L85" s="19"/>
      <c r="M85" s="19"/>
      <c r="N85" s="19"/>
      <c r="O85" s="19"/>
      <c r="P85" s="19"/>
      <c r="Q85" s="19"/>
      <c r="R85" s="19"/>
      <c r="S85" s="19"/>
      <c r="T85" s="19"/>
      <c r="U85" s="9"/>
    </row>
    <row r="86" spans="9:21" ht="20.100000000000001" customHeight="1">
      <c r="I86" s="7"/>
      <c r="J86" s="19"/>
      <c r="K86" s="19"/>
      <c r="L86" s="19"/>
      <c r="M86" s="19"/>
      <c r="N86" s="19"/>
      <c r="O86" s="19"/>
      <c r="P86" s="19"/>
      <c r="Q86" s="19"/>
      <c r="R86" s="19"/>
      <c r="S86" s="19"/>
      <c r="T86" s="19"/>
      <c r="U86" s="9"/>
    </row>
    <row r="87" spans="9:21" ht="20.100000000000001" customHeight="1">
      <c r="I87" s="7"/>
      <c r="J87" s="19"/>
      <c r="K87" s="19"/>
      <c r="L87" s="19"/>
      <c r="M87" s="19"/>
      <c r="N87" s="19"/>
      <c r="O87" s="19"/>
      <c r="P87" s="19"/>
      <c r="Q87" s="19"/>
      <c r="R87" s="19"/>
      <c r="S87" s="19"/>
      <c r="T87" s="19"/>
      <c r="U87" s="9"/>
    </row>
    <row r="88" spans="9:21" ht="20.100000000000001" customHeight="1">
      <c r="I88" s="7"/>
      <c r="J88" s="19"/>
      <c r="K88" s="19"/>
      <c r="L88" s="19"/>
      <c r="M88" s="19"/>
      <c r="N88" s="19"/>
      <c r="O88" s="19"/>
      <c r="P88" s="19"/>
      <c r="Q88" s="19"/>
      <c r="R88" s="19"/>
      <c r="S88" s="19"/>
      <c r="T88" s="19"/>
      <c r="U88" s="9"/>
    </row>
    <row r="89" spans="9:21" ht="20.100000000000001" customHeight="1">
      <c r="I89" s="7"/>
      <c r="J89" s="19"/>
      <c r="K89" s="19"/>
      <c r="L89" s="19"/>
      <c r="M89" s="19"/>
      <c r="N89" s="19"/>
      <c r="O89" s="19"/>
      <c r="P89" s="19"/>
      <c r="Q89" s="19"/>
      <c r="R89" s="19"/>
      <c r="S89" s="19"/>
      <c r="T89" s="19"/>
      <c r="U89" s="9"/>
    </row>
    <row r="90" spans="9:21" ht="20.100000000000001" customHeight="1">
      <c r="I90" s="7"/>
      <c r="J90" s="19"/>
      <c r="K90" s="19"/>
      <c r="L90" s="19"/>
      <c r="M90" s="19"/>
      <c r="N90" s="19"/>
      <c r="O90" s="19"/>
      <c r="P90" s="19"/>
      <c r="Q90" s="19"/>
      <c r="R90" s="19"/>
      <c r="S90" s="19"/>
      <c r="T90" s="19"/>
      <c r="U90" s="9"/>
    </row>
    <row r="91" spans="9:21" ht="20.100000000000001" customHeight="1">
      <c r="I91" s="17">
        <v>7.0000000000000007E-2</v>
      </c>
      <c r="J91" s="19"/>
      <c r="K91" s="19"/>
      <c r="L91" s="19"/>
      <c r="M91" s="19"/>
      <c r="N91" s="19"/>
      <c r="O91" s="19"/>
      <c r="P91" s="19"/>
      <c r="Q91" s="19"/>
      <c r="R91" s="19"/>
      <c r="S91" s="19"/>
      <c r="T91" s="19"/>
      <c r="U91" s="9"/>
    </row>
    <row r="92" spans="9:21" ht="20.100000000000001" customHeight="1">
      <c r="I92" s="7"/>
      <c r="J92" s="19"/>
      <c r="K92" s="19"/>
      <c r="L92" s="19"/>
      <c r="M92" s="19"/>
      <c r="N92" s="19"/>
      <c r="O92" s="19"/>
      <c r="P92" s="19"/>
      <c r="Q92" s="19"/>
      <c r="R92" s="19"/>
      <c r="S92" s="19"/>
      <c r="T92" s="19"/>
      <c r="U92" s="9"/>
    </row>
    <row r="93" spans="9:21" ht="20.100000000000001" customHeight="1">
      <c r="I93" s="7"/>
      <c r="J93" s="19"/>
      <c r="K93" s="19"/>
      <c r="L93" s="19"/>
      <c r="M93" s="19"/>
      <c r="N93" s="19"/>
      <c r="O93" s="19"/>
      <c r="P93" s="19"/>
      <c r="Q93" s="19"/>
      <c r="R93" s="19"/>
      <c r="S93" s="19"/>
      <c r="T93" s="19"/>
      <c r="U93" s="9"/>
    </row>
    <row r="94" spans="9:21" ht="20.100000000000001" customHeight="1">
      <c r="I94" s="7"/>
      <c r="J94" s="8"/>
      <c r="K94" s="8"/>
      <c r="L94" s="8"/>
      <c r="M94" s="8"/>
      <c r="N94" s="8"/>
      <c r="O94" s="8"/>
      <c r="P94" s="8"/>
      <c r="Q94" s="8"/>
      <c r="R94" s="8"/>
      <c r="S94" s="8"/>
      <c r="T94" s="8"/>
      <c r="U94" s="9"/>
    </row>
    <row r="95" spans="9:21" ht="20.100000000000001" customHeight="1">
      <c r="I95" s="10"/>
      <c r="J95" s="11"/>
      <c r="K95" s="11"/>
      <c r="L95" s="11"/>
      <c r="M95" s="11"/>
      <c r="N95" s="11"/>
      <c r="O95" s="11"/>
      <c r="P95" s="11"/>
      <c r="Q95" s="11"/>
      <c r="R95" s="11"/>
      <c r="S95" s="11"/>
      <c r="T95" s="11"/>
      <c r="U95" s="12"/>
    </row>
    <row r="96" spans="9:21" ht="20.100000000000001" customHeight="1"/>
  </sheetData>
  <mergeCells count="15">
    <mergeCell ref="C15:M17"/>
    <mergeCell ref="P15:Z17"/>
    <mergeCell ref="C18:M20"/>
    <mergeCell ref="P18:Z20"/>
    <mergeCell ref="C46:E48"/>
    <mergeCell ref="P46:R48"/>
    <mergeCell ref="C43:M45"/>
    <mergeCell ref="P43:Z45"/>
    <mergeCell ref="J71:T73"/>
    <mergeCell ref="J74:L76"/>
    <mergeCell ref="J79:T79"/>
    <mergeCell ref="C23:M23"/>
    <mergeCell ref="P23:Z23"/>
    <mergeCell ref="C51:M51"/>
    <mergeCell ref="P51:Z51"/>
  </mergeCells>
  <conditionalFormatting sqref="C23">
    <cfRule type="expression" dxfId="51" priority="17">
      <formula>0.6&lt;=$C$18</formula>
    </cfRule>
    <cfRule type="expression" dxfId="50" priority="18">
      <formula>AND(0.5&lt;=$C$18,$C$18&lt;0.6)</formula>
    </cfRule>
    <cfRule type="expression" dxfId="49" priority="19">
      <formula>AND(0.3&lt;=$C$18,$C$18&lt;0.5)</formula>
    </cfRule>
    <cfRule type="expression" dxfId="48" priority="20">
      <formula>AND($C$18&lt;0.3,$C$18&gt;0)</formula>
    </cfRule>
  </conditionalFormatting>
  <conditionalFormatting sqref="C51">
    <cfRule type="expression" dxfId="47" priority="9">
      <formula>0.15&lt;=$C$46</formula>
    </cfRule>
    <cfRule type="expression" dxfId="46" priority="10">
      <formula>AND(0.1&lt;=$C$46,$C$46&lt;0.15)</formula>
    </cfRule>
    <cfRule type="expression" dxfId="45" priority="11">
      <formula>AND(0.05&lt;=$C$46,$C$46&lt;0.1)</formula>
    </cfRule>
    <cfRule type="expression" dxfId="44" priority="12">
      <formula>$C$46&lt;0.05</formula>
    </cfRule>
  </conditionalFormatting>
  <conditionalFormatting sqref="J79">
    <cfRule type="expression" dxfId="43" priority="1">
      <formula>2&lt;=$J$74</formula>
    </cfRule>
    <cfRule type="expression" dxfId="42" priority="2">
      <formula>AND(1.5&lt;=$J$74,$J$74&lt;2)</formula>
    </cfRule>
    <cfRule type="expression" dxfId="41" priority="3">
      <formula>AND(1&lt;=$J$74,$J$74&lt;1.5)</formula>
    </cfRule>
    <cfRule type="expression" dxfId="40" priority="4">
      <formula>$J$74&lt;1</formula>
    </cfRule>
  </conditionalFormatting>
  <conditionalFormatting sqref="P23">
    <cfRule type="expression" dxfId="39" priority="13">
      <formula>0.06&lt;=$P$18</formula>
    </cfRule>
    <cfRule type="expression" dxfId="38" priority="14">
      <formula>AND(0.03&lt;=$P$18,$P$18&lt;0.06)</formula>
    </cfRule>
    <cfRule type="expression" dxfId="37" priority="15">
      <formula>AND(0.01&lt;=$P$18,$P$18&lt;0.03)</formula>
    </cfRule>
    <cfRule type="expression" dxfId="36" priority="16">
      <formula>$P$18&lt;0.01</formula>
    </cfRule>
  </conditionalFormatting>
  <conditionalFormatting sqref="P51">
    <cfRule type="expression" dxfId="35" priority="5">
      <formula>40&lt;=$P$46</formula>
    </cfRule>
    <cfRule type="expression" dxfId="34" priority="6">
      <formula>AND(20&lt;=$P$46,$P$46&lt;40)</formula>
    </cfRule>
    <cfRule type="expression" dxfId="33" priority="7">
      <formula>AND(10&lt;=$P$46,$P$46&lt;20)</formula>
    </cfRule>
    <cfRule type="expression" dxfId="32" priority="8">
      <formula>$P$46&lt;10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E7AF-D792-4B51-B0DB-5C5750CDC242}">
  <dimension ref="A1:AB151"/>
  <sheetViews>
    <sheetView topLeftCell="A85" zoomScale="50" zoomScaleNormal="49" workbookViewId="0"/>
  </sheetViews>
  <sheetFormatPr defaultColWidth="0" defaultRowHeight="14.45" customHeight="1"/>
  <cols>
    <col min="1" max="4" width="8.85546875" style="2" customWidth="1"/>
    <col min="5" max="5" width="12.7109375" style="2" customWidth="1"/>
    <col min="6" max="15" width="8.85546875" style="2" customWidth="1"/>
    <col min="16" max="16" width="12.140625" style="2" customWidth="1"/>
    <col min="17" max="17" width="8.85546875" style="2" customWidth="1"/>
    <col min="18" max="18" width="11.42578125" style="2" customWidth="1"/>
    <col min="19" max="28" width="8.85546875" style="2" customWidth="1"/>
    <col min="29" max="16384" width="8.85546875" style="2" hidden="1"/>
  </cols>
  <sheetData>
    <row r="1" spans="2:27" ht="15"/>
    <row r="2" spans="2:27" ht="15"/>
    <row r="3" spans="2:27" ht="15"/>
    <row r="4" spans="2:27" ht="15"/>
    <row r="5" spans="2:27" ht="15"/>
    <row r="6" spans="2:27" ht="15"/>
    <row r="7" spans="2:27" ht="15"/>
    <row r="8" spans="2:27" ht="15"/>
    <row r="9" spans="2:27" ht="15"/>
    <row r="10" spans="2:27" ht="15"/>
    <row r="11" spans="2:27" ht="19.350000000000001" customHeight="1"/>
    <row r="12" spans="2:27" ht="19.350000000000001" customHeight="1">
      <c r="B12" s="4"/>
      <c r="C12" s="5"/>
      <c r="D12" s="5"/>
      <c r="E12" s="5"/>
      <c r="F12" s="5"/>
      <c r="G12" s="5"/>
      <c r="H12" s="5"/>
      <c r="I12" s="5"/>
      <c r="J12" s="5"/>
      <c r="K12" s="5"/>
      <c r="L12" s="5"/>
      <c r="M12" s="5"/>
      <c r="N12" s="6"/>
      <c r="O12" s="4"/>
      <c r="P12" s="5"/>
      <c r="Q12" s="5"/>
      <c r="R12" s="5"/>
      <c r="S12" s="5"/>
      <c r="T12" s="5"/>
      <c r="U12" s="5"/>
      <c r="V12" s="5"/>
      <c r="W12" s="5"/>
      <c r="X12" s="5"/>
      <c r="Y12" s="5"/>
      <c r="Z12" s="5"/>
      <c r="AA12" s="6"/>
    </row>
    <row r="13" spans="2:27" ht="19.350000000000001" customHeight="1">
      <c r="B13" s="7"/>
      <c r="C13" s="8"/>
      <c r="D13" s="8"/>
      <c r="E13" s="8"/>
      <c r="F13" s="8"/>
      <c r="G13" s="8"/>
      <c r="H13" s="8"/>
      <c r="I13" s="8"/>
      <c r="J13" s="8"/>
      <c r="K13" s="8"/>
      <c r="L13" s="8"/>
      <c r="M13" s="8"/>
      <c r="N13" s="9"/>
      <c r="O13" s="7"/>
      <c r="P13" s="8"/>
      <c r="Q13" s="8"/>
      <c r="R13" s="8"/>
      <c r="S13" s="8"/>
      <c r="T13" s="8"/>
      <c r="U13" s="8"/>
      <c r="V13" s="8"/>
      <c r="W13" s="8"/>
      <c r="X13" s="8"/>
      <c r="Y13" s="8"/>
      <c r="Z13" s="8"/>
      <c r="AA13" s="9"/>
    </row>
    <row r="14" spans="2:27" ht="19.350000000000001" customHeight="1">
      <c r="B14" s="7"/>
      <c r="C14" s="8"/>
      <c r="D14" s="8"/>
      <c r="E14" s="8"/>
      <c r="F14" s="8"/>
      <c r="G14" s="8"/>
      <c r="H14" s="8"/>
      <c r="I14" s="8"/>
      <c r="J14" s="8"/>
      <c r="K14" s="8"/>
      <c r="L14" s="8"/>
      <c r="M14" s="8"/>
      <c r="N14" s="9"/>
      <c r="O14" s="7"/>
      <c r="P14" s="8"/>
      <c r="Q14" s="8"/>
      <c r="R14" s="8"/>
      <c r="S14" s="8"/>
      <c r="T14" s="8"/>
      <c r="U14" s="8"/>
      <c r="V14" s="8"/>
      <c r="W14" s="8"/>
      <c r="X14" s="8"/>
      <c r="Y14" s="8"/>
      <c r="Z14" s="8"/>
      <c r="AA14" s="9"/>
    </row>
    <row r="15" spans="2:27" ht="19.350000000000001" customHeight="1">
      <c r="B15" s="7"/>
      <c r="C15" s="96" t="s">
        <v>52</v>
      </c>
      <c r="D15" s="96"/>
      <c r="E15" s="96"/>
      <c r="F15" s="96"/>
      <c r="G15" s="96"/>
      <c r="H15" s="96"/>
      <c r="I15" s="96"/>
      <c r="J15" s="96"/>
      <c r="K15" s="96"/>
      <c r="L15" s="96"/>
      <c r="M15" s="96"/>
      <c r="N15" s="9"/>
      <c r="O15" s="7"/>
      <c r="P15" s="96" t="s">
        <v>53</v>
      </c>
      <c r="Q15" s="96"/>
      <c r="R15" s="96"/>
      <c r="S15" s="96"/>
      <c r="T15" s="96"/>
      <c r="U15" s="96"/>
      <c r="V15" s="96"/>
      <c r="W15" s="96"/>
      <c r="X15" s="96"/>
      <c r="Y15" s="96"/>
      <c r="Z15" s="96"/>
      <c r="AA15" s="9"/>
    </row>
    <row r="16" spans="2:27" ht="19.350000000000001" customHeight="1">
      <c r="B16" s="7"/>
      <c r="C16" s="96"/>
      <c r="D16" s="96"/>
      <c r="E16" s="96"/>
      <c r="F16" s="96"/>
      <c r="G16" s="96"/>
      <c r="H16" s="96"/>
      <c r="I16" s="96"/>
      <c r="J16" s="96"/>
      <c r="K16" s="96"/>
      <c r="L16" s="96"/>
      <c r="M16" s="96"/>
      <c r="N16" s="9"/>
      <c r="O16" s="7"/>
      <c r="P16" s="96"/>
      <c r="Q16" s="96"/>
      <c r="R16" s="96"/>
      <c r="S16" s="96"/>
      <c r="T16" s="96"/>
      <c r="U16" s="96"/>
      <c r="V16" s="96"/>
      <c r="W16" s="96"/>
      <c r="X16" s="96"/>
      <c r="Y16" s="96"/>
      <c r="Z16" s="96"/>
      <c r="AA16" s="9"/>
    </row>
    <row r="17" spans="2:27" ht="19.350000000000001" customHeight="1">
      <c r="B17" s="7"/>
      <c r="C17" s="96"/>
      <c r="D17" s="96"/>
      <c r="E17" s="96"/>
      <c r="F17" s="96"/>
      <c r="G17" s="96"/>
      <c r="H17" s="96"/>
      <c r="I17" s="96"/>
      <c r="J17" s="96"/>
      <c r="K17" s="96"/>
      <c r="L17" s="96"/>
      <c r="M17" s="96"/>
      <c r="N17" s="9"/>
      <c r="O17" s="7"/>
      <c r="P17" s="96"/>
      <c r="Q17" s="96"/>
      <c r="R17" s="96"/>
      <c r="S17" s="96"/>
      <c r="T17" s="96"/>
      <c r="U17" s="96"/>
      <c r="V17" s="96"/>
      <c r="W17" s="96"/>
      <c r="X17" s="96"/>
      <c r="Y17" s="96"/>
      <c r="Z17" s="96"/>
      <c r="AA17" s="9"/>
    </row>
    <row r="18" spans="2:27" ht="19.350000000000001" customHeight="1">
      <c r="B18" s="7"/>
      <c r="C18" s="98">
        <f>'Financial Statements'!I41</f>
        <v>2533000</v>
      </c>
      <c r="D18" s="98"/>
      <c r="E18" s="98"/>
      <c r="F18" s="14"/>
      <c r="G18" s="8"/>
      <c r="H18" s="8"/>
      <c r="I18" s="8"/>
      <c r="J18" s="8"/>
      <c r="K18" s="8"/>
      <c r="L18" s="8"/>
      <c r="M18" s="8"/>
      <c r="N18" s="9"/>
      <c r="O18" s="7"/>
      <c r="P18" s="113">
        <f>'Financial Statements'!I42</f>
        <v>2514000</v>
      </c>
      <c r="Q18" s="113"/>
      <c r="R18" s="113"/>
      <c r="S18" s="14"/>
      <c r="T18" s="8"/>
      <c r="U18" s="8"/>
      <c r="V18" s="8"/>
      <c r="W18" s="8"/>
      <c r="X18" s="8"/>
      <c r="Y18" s="8"/>
      <c r="Z18" s="8"/>
      <c r="AA18" s="9"/>
    </row>
    <row r="19" spans="2:27" ht="19.350000000000001" customHeight="1">
      <c r="B19" s="7"/>
      <c r="C19" s="98"/>
      <c r="D19" s="98"/>
      <c r="E19" s="98"/>
      <c r="F19" s="14"/>
      <c r="G19" s="8"/>
      <c r="H19" s="8"/>
      <c r="I19" s="8"/>
      <c r="J19" s="8"/>
      <c r="K19" s="8"/>
      <c r="L19" s="8"/>
      <c r="M19" s="8"/>
      <c r="N19" s="9"/>
      <c r="O19" s="7"/>
      <c r="P19" s="113"/>
      <c r="Q19" s="113"/>
      <c r="R19" s="113"/>
      <c r="S19" s="14"/>
      <c r="T19" s="8"/>
      <c r="U19" s="8"/>
      <c r="V19" s="8"/>
      <c r="W19" s="8"/>
      <c r="X19" s="8"/>
      <c r="Y19" s="8"/>
      <c r="Z19" s="8"/>
      <c r="AA19" s="9"/>
    </row>
    <row r="20" spans="2:27" ht="19.350000000000001" customHeight="1">
      <c r="B20" s="7"/>
      <c r="C20" s="98"/>
      <c r="D20" s="98"/>
      <c r="E20" s="98"/>
      <c r="F20" s="14"/>
      <c r="G20" s="8"/>
      <c r="H20" s="8"/>
      <c r="I20" s="8"/>
      <c r="J20" s="8"/>
      <c r="K20" s="8"/>
      <c r="L20" s="8"/>
      <c r="M20" s="8"/>
      <c r="N20" s="9"/>
      <c r="O20" s="7"/>
      <c r="P20" s="113"/>
      <c r="Q20" s="113"/>
      <c r="R20" s="113"/>
      <c r="S20" s="14"/>
      <c r="T20" s="8"/>
      <c r="U20" s="8"/>
      <c r="V20" s="8"/>
      <c r="W20" s="8"/>
      <c r="X20" s="8"/>
      <c r="Y20" s="8"/>
      <c r="Z20" s="8"/>
      <c r="AA20" s="9"/>
    </row>
    <row r="21" spans="2:27" ht="19.350000000000001" customHeight="1">
      <c r="B21" s="17">
        <v>-0.12</v>
      </c>
      <c r="C21" s="15" t="str">
        <f>IF(B21&gt;0,"+"&amp;B21,B21)&amp;"% vs 2021"</f>
        <v>-0,12% vs 2021</v>
      </c>
      <c r="D21" s="16"/>
      <c r="E21" s="16"/>
      <c r="F21" s="16"/>
      <c r="G21" s="16"/>
      <c r="H21" s="16"/>
      <c r="I21" s="16"/>
      <c r="J21" s="16"/>
      <c r="K21" s="16"/>
      <c r="L21" s="16"/>
      <c r="M21" s="16"/>
      <c r="N21" s="9"/>
      <c r="O21" s="17">
        <v>0.13</v>
      </c>
      <c r="P21" s="15" t="str">
        <f>IF(O21&gt;0,"+"&amp;O21,O21)&amp;"% vs 2021"</f>
        <v>+0,13% vs 2021</v>
      </c>
      <c r="Q21" s="16"/>
      <c r="R21" s="16"/>
      <c r="S21" s="16"/>
      <c r="T21" s="16"/>
      <c r="U21" s="16"/>
      <c r="V21" s="16"/>
      <c r="W21" s="16"/>
      <c r="X21" s="16"/>
      <c r="Y21" s="16"/>
      <c r="Z21" s="16"/>
      <c r="AA21" s="9"/>
    </row>
    <row r="22" spans="2:27" ht="19.350000000000001" customHeight="1">
      <c r="B22" s="7"/>
      <c r="C22" s="14"/>
      <c r="D22" s="14"/>
      <c r="E22" s="14"/>
      <c r="F22" s="14"/>
      <c r="G22" s="8"/>
      <c r="H22" s="8"/>
      <c r="I22" s="8"/>
      <c r="J22" s="8"/>
      <c r="K22" s="8"/>
      <c r="L22" s="8"/>
      <c r="M22" s="8"/>
      <c r="N22" s="9"/>
      <c r="O22" s="7"/>
      <c r="P22" s="14"/>
      <c r="Q22" s="14"/>
      <c r="R22" s="14"/>
      <c r="S22" s="14"/>
      <c r="T22" s="8"/>
      <c r="U22" s="8"/>
      <c r="V22" s="8"/>
      <c r="W22" s="8"/>
      <c r="X22" s="8"/>
      <c r="Y22" s="8"/>
      <c r="Z22" s="8"/>
      <c r="AA22" s="9"/>
    </row>
    <row r="23" spans="2:27" ht="19.350000000000001" customHeight="1">
      <c r="B23" s="7"/>
      <c r="C23" s="95"/>
      <c r="D23" s="95"/>
      <c r="E23" s="95"/>
      <c r="F23" s="95"/>
      <c r="G23" s="95"/>
      <c r="H23" s="95"/>
      <c r="I23" s="95"/>
      <c r="J23" s="95"/>
      <c r="K23" s="95"/>
      <c r="L23" s="95"/>
      <c r="M23" s="95"/>
      <c r="N23" s="9"/>
      <c r="O23" s="7"/>
      <c r="P23" s="95"/>
      <c r="Q23" s="95"/>
      <c r="R23" s="95"/>
      <c r="S23" s="95"/>
      <c r="T23" s="95"/>
      <c r="U23" s="95"/>
      <c r="V23" s="95"/>
      <c r="W23" s="95"/>
      <c r="X23" s="95"/>
      <c r="Y23" s="95"/>
      <c r="Z23" s="95"/>
      <c r="AA23" s="9"/>
    </row>
    <row r="24" spans="2:27" ht="19.350000000000001" customHeight="1">
      <c r="B24" s="7"/>
      <c r="C24" s="8"/>
      <c r="D24" s="8"/>
      <c r="E24" s="8"/>
      <c r="F24" s="8"/>
      <c r="G24" s="8"/>
      <c r="H24" s="8"/>
      <c r="I24" s="8"/>
      <c r="J24" s="8"/>
      <c r="K24" s="8"/>
      <c r="L24" s="8"/>
      <c r="M24" s="8"/>
      <c r="N24" s="9"/>
      <c r="O24" s="7"/>
      <c r="P24" s="8"/>
      <c r="Q24" s="8"/>
      <c r="R24" s="8"/>
      <c r="S24" s="8"/>
      <c r="T24" s="8"/>
      <c r="U24" s="8"/>
      <c r="V24" s="8"/>
      <c r="W24" s="8"/>
      <c r="X24" s="8"/>
      <c r="Y24" s="8"/>
      <c r="Z24" s="8"/>
      <c r="AA24" s="9"/>
    </row>
    <row r="25" spans="2:27" ht="19.350000000000001" customHeight="1">
      <c r="B25" s="10"/>
      <c r="C25" s="11"/>
      <c r="D25" s="11"/>
      <c r="E25" s="11"/>
      <c r="F25" s="11"/>
      <c r="G25" s="11"/>
      <c r="H25" s="11"/>
      <c r="I25" s="11"/>
      <c r="J25" s="11"/>
      <c r="K25" s="11"/>
      <c r="L25" s="11"/>
      <c r="M25" s="11"/>
      <c r="N25" s="12"/>
      <c r="O25" s="10"/>
      <c r="P25" s="11"/>
      <c r="Q25" s="11"/>
      <c r="R25" s="11"/>
      <c r="S25" s="11"/>
      <c r="T25" s="11"/>
      <c r="U25" s="11"/>
      <c r="V25" s="11"/>
      <c r="W25" s="11"/>
      <c r="X25" s="11"/>
      <c r="Y25" s="11"/>
      <c r="Z25" s="11"/>
      <c r="AA25" s="12"/>
    </row>
    <row r="26" spans="2:27" ht="19.350000000000001" customHeight="1">
      <c r="B26" s="4"/>
      <c r="C26" s="5"/>
      <c r="D26" s="5"/>
      <c r="E26" s="5"/>
      <c r="F26" s="5"/>
      <c r="G26" s="5"/>
      <c r="H26" s="5"/>
      <c r="I26" s="5"/>
      <c r="J26" s="5"/>
      <c r="K26" s="5"/>
      <c r="L26" s="5"/>
      <c r="M26" s="5"/>
      <c r="N26" s="6"/>
      <c r="O26" s="4"/>
      <c r="P26" s="5"/>
      <c r="Q26" s="5"/>
      <c r="R26" s="5"/>
      <c r="S26" s="5"/>
      <c r="T26" s="5"/>
      <c r="U26" s="5"/>
      <c r="V26" s="5"/>
      <c r="W26" s="5"/>
      <c r="X26" s="5"/>
      <c r="Y26" s="5"/>
      <c r="Z26" s="5"/>
      <c r="AA26" s="6"/>
    </row>
    <row r="27" spans="2:27" ht="19.350000000000001" customHeight="1">
      <c r="B27" s="7"/>
      <c r="C27" s="8"/>
      <c r="D27" s="8"/>
      <c r="E27" s="8"/>
      <c r="F27" s="8"/>
      <c r="G27" s="8"/>
      <c r="H27" s="8"/>
      <c r="I27" s="8"/>
      <c r="J27" s="8"/>
      <c r="K27" s="8"/>
      <c r="L27" s="8"/>
      <c r="M27" s="8"/>
      <c r="N27" s="9"/>
      <c r="O27" s="7"/>
      <c r="P27" s="8"/>
      <c r="Q27" s="8"/>
      <c r="R27" s="8"/>
      <c r="S27" s="8"/>
      <c r="T27" s="8"/>
      <c r="U27" s="8"/>
      <c r="V27" s="8"/>
      <c r="W27" s="8"/>
      <c r="X27" s="8"/>
      <c r="Y27" s="8"/>
      <c r="Z27" s="8"/>
      <c r="AA27" s="9"/>
    </row>
    <row r="28" spans="2:27" ht="19.350000000000001" customHeight="1">
      <c r="B28" s="7"/>
      <c r="C28" s="8"/>
      <c r="D28" s="8"/>
      <c r="E28" s="8"/>
      <c r="F28" s="8"/>
      <c r="G28" s="8"/>
      <c r="H28" s="8"/>
      <c r="I28" s="8"/>
      <c r="J28" s="8"/>
      <c r="K28" s="8"/>
      <c r="L28" s="8"/>
      <c r="M28" s="8"/>
      <c r="N28" s="9"/>
      <c r="O28" s="7"/>
      <c r="P28" s="8"/>
      <c r="Q28" s="8"/>
      <c r="R28" s="8"/>
      <c r="S28" s="8"/>
      <c r="T28" s="8"/>
      <c r="U28" s="8"/>
      <c r="V28" s="8"/>
      <c r="W28" s="8"/>
      <c r="X28" s="8"/>
      <c r="Y28" s="8"/>
      <c r="Z28" s="8"/>
      <c r="AA28" s="9"/>
    </row>
    <row r="29" spans="2:27" ht="19.350000000000001" customHeight="1">
      <c r="B29" s="7"/>
      <c r="C29" s="19"/>
      <c r="D29" s="19"/>
      <c r="E29" s="19"/>
      <c r="F29" s="19"/>
      <c r="G29" s="19"/>
      <c r="H29" s="19"/>
      <c r="I29" s="19"/>
      <c r="J29" s="19"/>
      <c r="K29" s="19"/>
      <c r="L29" s="19"/>
      <c r="M29" s="19"/>
      <c r="N29" s="9"/>
      <c r="O29" s="7"/>
      <c r="P29" s="19"/>
      <c r="Q29" s="19"/>
      <c r="R29" s="19"/>
      <c r="S29" s="19"/>
      <c r="T29" s="19"/>
      <c r="U29" s="19"/>
      <c r="V29" s="19"/>
      <c r="W29" s="19"/>
      <c r="X29" s="19"/>
      <c r="Y29" s="19"/>
      <c r="Z29" s="19"/>
      <c r="AA29" s="9"/>
    </row>
    <row r="30" spans="2:27" ht="19.350000000000001" customHeight="1">
      <c r="B30" s="7"/>
      <c r="C30" s="19"/>
      <c r="D30" s="19"/>
      <c r="E30" s="19"/>
      <c r="F30" s="19"/>
      <c r="G30" s="19"/>
      <c r="H30" s="19"/>
      <c r="I30" s="19"/>
      <c r="J30" s="19"/>
      <c r="K30" s="19"/>
      <c r="L30" s="19"/>
      <c r="M30" s="19"/>
      <c r="N30" s="9"/>
      <c r="O30" s="7"/>
      <c r="P30" s="19"/>
      <c r="Q30" s="19"/>
      <c r="R30" s="19"/>
      <c r="S30" s="19"/>
      <c r="T30" s="19"/>
      <c r="U30" s="19"/>
      <c r="V30" s="19"/>
      <c r="W30" s="19"/>
      <c r="X30" s="19"/>
      <c r="Y30" s="19"/>
      <c r="Z30" s="19"/>
      <c r="AA30" s="9"/>
    </row>
    <row r="31" spans="2:27" ht="19.350000000000001" customHeight="1">
      <c r="B31" s="7"/>
      <c r="C31" s="19"/>
      <c r="D31" s="19"/>
      <c r="E31" s="19"/>
      <c r="F31" s="19"/>
      <c r="G31" s="19"/>
      <c r="H31" s="19"/>
      <c r="I31" s="19"/>
      <c r="J31" s="19"/>
      <c r="K31" s="19"/>
      <c r="L31" s="19"/>
      <c r="M31" s="19"/>
      <c r="N31" s="9"/>
      <c r="O31" s="7"/>
      <c r="P31" s="19"/>
      <c r="Q31" s="19"/>
      <c r="R31" s="19"/>
      <c r="S31" s="19"/>
      <c r="T31" s="19"/>
      <c r="U31" s="19"/>
      <c r="V31" s="19"/>
      <c r="W31" s="19"/>
      <c r="X31" s="19"/>
      <c r="Y31" s="19"/>
      <c r="Z31" s="19"/>
      <c r="AA31" s="9"/>
    </row>
    <row r="32" spans="2:27" ht="19.350000000000001" customHeight="1">
      <c r="B32" s="7"/>
      <c r="C32" s="19"/>
      <c r="D32" s="19"/>
      <c r="E32" s="19"/>
      <c r="F32" s="19"/>
      <c r="G32" s="19"/>
      <c r="H32" s="19"/>
      <c r="I32" s="19"/>
      <c r="J32" s="19"/>
      <c r="K32" s="19"/>
      <c r="L32" s="19"/>
      <c r="M32" s="19"/>
      <c r="N32" s="9"/>
      <c r="O32" s="7"/>
      <c r="P32" s="19"/>
      <c r="Q32" s="19"/>
      <c r="R32" s="19"/>
      <c r="S32" s="19"/>
      <c r="T32" s="19"/>
      <c r="U32" s="19"/>
      <c r="V32" s="19"/>
      <c r="W32" s="19"/>
      <c r="X32" s="19"/>
      <c r="Y32" s="19"/>
      <c r="Z32" s="19"/>
      <c r="AA32" s="9"/>
    </row>
    <row r="33" spans="2:27" ht="19.350000000000001" customHeight="1">
      <c r="B33" s="7"/>
      <c r="C33" s="19"/>
      <c r="D33" s="19"/>
      <c r="E33" s="19"/>
      <c r="F33" s="19"/>
      <c r="G33" s="19"/>
      <c r="H33" s="19"/>
      <c r="I33" s="19"/>
      <c r="J33" s="19"/>
      <c r="K33" s="19"/>
      <c r="L33" s="19"/>
      <c r="M33" s="19"/>
      <c r="N33" s="9"/>
      <c r="O33" s="7"/>
      <c r="P33" s="19"/>
      <c r="Q33" s="19"/>
      <c r="R33" s="19"/>
      <c r="S33" s="19"/>
      <c r="T33" s="19"/>
      <c r="U33" s="19"/>
      <c r="V33" s="19"/>
      <c r="W33" s="19"/>
      <c r="X33" s="19"/>
      <c r="Y33" s="19"/>
      <c r="Z33" s="19"/>
      <c r="AA33" s="9"/>
    </row>
    <row r="34" spans="2:27" ht="19.350000000000001" customHeight="1">
      <c r="B34" s="7"/>
      <c r="C34" s="19"/>
      <c r="D34" s="19"/>
      <c r="E34" s="19"/>
      <c r="F34" s="19"/>
      <c r="G34" s="19"/>
      <c r="H34" s="19"/>
      <c r="I34" s="19"/>
      <c r="J34" s="19"/>
      <c r="K34" s="19"/>
      <c r="L34" s="19"/>
      <c r="M34" s="19"/>
      <c r="N34" s="9"/>
      <c r="O34" s="7"/>
      <c r="P34" s="19"/>
      <c r="Q34" s="19"/>
      <c r="R34" s="19"/>
      <c r="S34" s="19"/>
      <c r="T34" s="19"/>
      <c r="U34" s="19"/>
      <c r="V34" s="19"/>
      <c r="W34" s="19"/>
      <c r="X34" s="19"/>
      <c r="Y34" s="19"/>
      <c r="Z34" s="19"/>
      <c r="AA34" s="9"/>
    </row>
    <row r="35" spans="2:27" ht="19.350000000000001" customHeight="1">
      <c r="B35" s="17">
        <v>7.0000000000000007E-2</v>
      </c>
      <c r="C35" s="19"/>
      <c r="D35" s="19"/>
      <c r="E35" s="19"/>
      <c r="F35" s="19"/>
      <c r="G35" s="19"/>
      <c r="H35" s="19"/>
      <c r="I35" s="19"/>
      <c r="J35" s="19"/>
      <c r="K35" s="19"/>
      <c r="L35" s="19"/>
      <c r="M35" s="19"/>
      <c r="N35" s="9"/>
      <c r="O35" s="17">
        <v>7.0000000000000007E-2</v>
      </c>
      <c r="P35" s="19"/>
      <c r="Q35" s="19"/>
      <c r="R35" s="19"/>
      <c r="S35" s="19"/>
      <c r="T35" s="19"/>
      <c r="U35" s="19"/>
      <c r="V35" s="19"/>
      <c r="W35" s="19"/>
      <c r="X35" s="19"/>
      <c r="Y35" s="19"/>
      <c r="Z35" s="19"/>
      <c r="AA35" s="9"/>
    </row>
    <row r="36" spans="2:27" ht="19.350000000000001" customHeight="1">
      <c r="B36" s="7"/>
      <c r="C36" s="19"/>
      <c r="D36" s="19"/>
      <c r="E36" s="19"/>
      <c r="F36" s="19"/>
      <c r="G36" s="19"/>
      <c r="H36" s="19"/>
      <c r="I36" s="19"/>
      <c r="J36" s="19"/>
      <c r="K36" s="19"/>
      <c r="L36" s="19"/>
      <c r="M36" s="19"/>
      <c r="N36" s="9"/>
      <c r="O36" s="7"/>
      <c r="P36" s="19"/>
      <c r="Q36" s="19"/>
      <c r="R36" s="19"/>
      <c r="S36" s="19"/>
      <c r="T36" s="19"/>
      <c r="U36" s="19"/>
      <c r="V36" s="19"/>
      <c r="W36" s="19"/>
      <c r="X36" s="19"/>
      <c r="Y36" s="19"/>
      <c r="Z36" s="19"/>
      <c r="AA36" s="9"/>
    </row>
    <row r="37" spans="2:27" ht="19.350000000000001" customHeight="1">
      <c r="B37" s="7"/>
      <c r="C37" s="19"/>
      <c r="D37" s="19"/>
      <c r="E37" s="19"/>
      <c r="F37" s="19"/>
      <c r="G37" s="19"/>
      <c r="H37" s="19"/>
      <c r="I37" s="19"/>
      <c r="J37" s="19"/>
      <c r="K37" s="19"/>
      <c r="L37" s="19"/>
      <c r="M37" s="19"/>
      <c r="N37" s="9"/>
      <c r="O37" s="7"/>
      <c r="P37" s="19"/>
      <c r="Q37" s="19"/>
      <c r="R37" s="19"/>
      <c r="S37" s="19"/>
      <c r="T37" s="19"/>
      <c r="U37" s="19"/>
      <c r="V37" s="19"/>
      <c r="W37" s="19"/>
      <c r="X37" s="19"/>
      <c r="Y37" s="19"/>
      <c r="Z37" s="19"/>
      <c r="AA37" s="9"/>
    </row>
    <row r="38" spans="2:27" ht="19.350000000000001" customHeight="1">
      <c r="B38" s="7"/>
      <c r="C38" s="8"/>
      <c r="D38" s="8"/>
      <c r="E38" s="8"/>
      <c r="F38" s="8"/>
      <c r="G38" s="8"/>
      <c r="H38" s="8"/>
      <c r="I38" s="8"/>
      <c r="J38" s="8"/>
      <c r="K38" s="8"/>
      <c r="L38" s="8"/>
      <c r="M38" s="8"/>
      <c r="N38" s="9"/>
      <c r="O38" s="7"/>
      <c r="P38" s="8"/>
      <c r="Q38" s="8"/>
      <c r="R38" s="8"/>
      <c r="S38" s="8"/>
      <c r="T38" s="8"/>
      <c r="U38" s="8"/>
      <c r="V38" s="8"/>
      <c r="W38" s="8"/>
      <c r="X38" s="8"/>
      <c r="Y38" s="8"/>
      <c r="Z38" s="8"/>
      <c r="AA38" s="9"/>
    </row>
    <row r="39" spans="2:27" ht="19.350000000000001" customHeight="1">
      <c r="B39" s="10"/>
      <c r="C39" s="11"/>
      <c r="D39" s="11"/>
      <c r="E39" s="11"/>
      <c r="F39" s="11"/>
      <c r="G39" s="11"/>
      <c r="H39" s="11"/>
      <c r="I39" s="11"/>
      <c r="J39" s="11"/>
      <c r="K39" s="11"/>
      <c r="L39" s="11"/>
      <c r="M39" s="11"/>
      <c r="N39" s="12"/>
      <c r="O39" s="10"/>
      <c r="P39" s="11"/>
      <c r="Q39" s="11"/>
      <c r="R39" s="11"/>
      <c r="S39" s="11"/>
      <c r="T39" s="11"/>
      <c r="U39" s="11"/>
      <c r="V39" s="11"/>
      <c r="W39" s="11"/>
      <c r="X39" s="11"/>
      <c r="Y39" s="11"/>
      <c r="Z39" s="11"/>
      <c r="AA39" s="12"/>
    </row>
    <row r="40" spans="2:27" ht="19.350000000000001" customHeight="1">
      <c r="B40" s="4"/>
      <c r="C40" s="5"/>
      <c r="D40" s="5"/>
      <c r="E40" s="5"/>
      <c r="F40" s="5"/>
      <c r="G40" s="5"/>
      <c r="H40" s="5"/>
      <c r="I40" s="5"/>
      <c r="J40" s="5"/>
      <c r="K40" s="5"/>
      <c r="L40" s="5"/>
      <c r="M40" s="5"/>
      <c r="N40" s="6"/>
      <c r="O40" s="4"/>
      <c r="P40" s="5"/>
      <c r="Q40" s="5"/>
      <c r="R40" s="5"/>
      <c r="S40" s="5"/>
      <c r="T40" s="5"/>
      <c r="U40" s="5"/>
      <c r="V40" s="5"/>
      <c r="W40" s="5"/>
      <c r="X40" s="5"/>
      <c r="Y40" s="5"/>
      <c r="Z40" s="5"/>
      <c r="AA40" s="6"/>
    </row>
    <row r="41" spans="2:27" ht="19.350000000000001" customHeight="1">
      <c r="B41" s="7"/>
      <c r="C41" s="8"/>
      <c r="D41" s="8"/>
      <c r="E41" s="8"/>
      <c r="F41" s="8"/>
      <c r="G41" s="8"/>
      <c r="H41" s="8"/>
      <c r="I41" s="8"/>
      <c r="J41" s="8"/>
      <c r="K41" s="8"/>
      <c r="L41" s="8"/>
      <c r="M41" s="8"/>
      <c r="N41" s="9"/>
      <c r="O41" s="7"/>
      <c r="P41" s="8"/>
      <c r="Q41" s="8"/>
      <c r="R41" s="8"/>
      <c r="S41" s="8"/>
      <c r="T41" s="8"/>
      <c r="U41" s="8"/>
      <c r="V41" s="8"/>
      <c r="W41" s="8"/>
      <c r="X41" s="8"/>
      <c r="Y41" s="8"/>
      <c r="Z41" s="8"/>
      <c r="AA41" s="9"/>
    </row>
    <row r="42" spans="2:27" ht="19.350000000000001" customHeight="1">
      <c r="B42" s="7"/>
      <c r="C42" s="8"/>
      <c r="D42" s="8"/>
      <c r="E42" s="8"/>
      <c r="F42" s="8"/>
      <c r="G42" s="8"/>
      <c r="H42" s="8"/>
      <c r="I42" s="8"/>
      <c r="J42" s="8"/>
      <c r="K42" s="8"/>
      <c r="L42" s="8"/>
      <c r="M42" s="8"/>
      <c r="N42" s="9"/>
      <c r="O42" s="7"/>
      <c r="P42" s="8"/>
      <c r="Q42" s="8"/>
      <c r="R42" s="8"/>
      <c r="S42" s="8"/>
      <c r="T42" s="8"/>
      <c r="U42" s="8"/>
      <c r="V42" s="8"/>
      <c r="W42" s="8"/>
      <c r="X42" s="8"/>
      <c r="Y42" s="8"/>
      <c r="Z42" s="8"/>
      <c r="AA42" s="9"/>
    </row>
    <row r="43" spans="2:27" ht="19.350000000000001" customHeight="1">
      <c r="B43" s="7"/>
      <c r="C43" s="96" t="s">
        <v>54</v>
      </c>
      <c r="D43" s="96"/>
      <c r="E43" s="96"/>
      <c r="F43" s="96"/>
      <c r="G43" s="96"/>
      <c r="H43" s="96"/>
      <c r="I43" s="96"/>
      <c r="J43" s="96"/>
      <c r="K43" s="96"/>
      <c r="L43" s="96"/>
      <c r="M43" s="96"/>
      <c r="N43" s="9"/>
      <c r="O43" s="7"/>
      <c r="P43" s="96" t="s">
        <v>55</v>
      </c>
      <c r="Q43" s="96"/>
      <c r="R43" s="96"/>
      <c r="S43" s="96"/>
      <c r="T43" s="96"/>
      <c r="U43" s="96"/>
      <c r="V43" s="96"/>
      <c r="W43" s="96"/>
      <c r="X43" s="96"/>
      <c r="Y43" s="96"/>
      <c r="Z43" s="96"/>
      <c r="AA43" s="9"/>
    </row>
    <row r="44" spans="2:27" ht="19.350000000000001" customHeight="1">
      <c r="B44" s="7"/>
      <c r="C44" s="96"/>
      <c r="D44" s="96"/>
      <c r="E44" s="96"/>
      <c r="F44" s="96"/>
      <c r="G44" s="96"/>
      <c r="H44" s="96"/>
      <c r="I44" s="96"/>
      <c r="J44" s="96"/>
      <c r="K44" s="96"/>
      <c r="L44" s="96"/>
      <c r="M44" s="96"/>
      <c r="N44" s="9"/>
      <c r="O44" s="7"/>
      <c r="P44" s="96"/>
      <c r="Q44" s="96"/>
      <c r="R44" s="96"/>
      <c r="S44" s="96"/>
      <c r="T44" s="96"/>
      <c r="U44" s="96"/>
      <c r="V44" s="96"/>
      <c r="W44" s="96"/>
      <c r="X44" s="96"/>
      <c r="Y44" s="96"/>
      <c r="Z44" s="96"/>
      <c r="AA44" s="9"/>
    </row>
    <row r="45" spans="2:27" ht="19.350000000000001" customHeight="1">
      <c r="B45" s="7"/>
      <c r="C45" s="96"/>
      <c r="D45" s="96"/>
      <c r="E45" s="96"/>
      <c r="F45" s="96"/>
      <c r="G45" s="96"/>
      <c r="H45" s="96"/>
      <c r="I45" s="96"/>
      <c r="J45" s="96"/>
      <c r="K45" s="96"/>
      <c r="L45" s="96"/>
      <c r="M45" s="96"/>
      <c r="N45" s="9"/>
      <c r="O45" s="7"/>
      <c r="P45" s="96"/>
      <c r="Q45" s="96"/>
      <c r="R45" s="96"/>
      <c r="S45" s="96"/>
      <c r="T45" s="96"/>
      <c r="U45" s="96"/>
      <c r="V45" s="96"/>
      <c r="W45" s="96"/>
      <c r="X45" s="96"/>
      <c r="Y45" s="96"/>
      <c r="Z45" s="96"/>
      <c r="AA45" s="9"/>
    </row>
    <row r="46" spans="2:27" ht="19.350000000000001" customHeight="1">
      <c r="B46" s="7"/>
      <c r="C46" s="98">
        <f>'Financial Statements'!I43</f>
        <v>19000</v>
      </c>
      <c r="D46" s="98"/>
      <c r="E46" s="98"/>
      <c r="F46" s="98"/>
      <c r="G46" s="98"/>
      <c r="H46" s="98"/>
      <c r="I46" s="98"/>
      <c r="J46" s="98"/>
      <c r="K46" s="98"/>
      <c r="L46" s="98"/>
      <c r="M46" s="98"/>
      <c r="N46" s="9"/>
      <c r="O46" s="7"/>
      <c r="P46" s="110">
        <f>'Financial Statements'!I44</f>
        <v>9.9459999999999997</v>
      </c>
      <c r="Q46" s="110"/>
      <c r="R46" s="110"/>
      <c r="S46" s="110"/>
      <c r="T46" s="110"/>
      <c r="U46" s="110"/>
      <c r="V46" s="110"/>
      <c r="W46" s="110"/>
      <c r="X46" s="110"/>
      <c r="Y46" s="110"/>
      <c r="Z46" s="110"/>
      <c r="AA46" s="9"/>
    </row>
    <row r="47" spans="2:27" ht="19.350000000000001" customHeight="1">
      <c r="B47" s="7"/>
      <c r="C47" s="98"/>
      <c r="D47" s="98"/>
      <c r="E47" s="98"/>
      <c r="F47" s="98"/>
      <c r="G47" s="98"/>
      <c r="H47" s="98"/>
      <c r="I47" s="98"/>
      <c r="J47" s="98"/>
      <c r="K47" s="98"/>
      <c r="L47" s="98"/>
      <c r="M47" s="98"/>
      <c r="N47" s="9"/>
      <c r="O47" s="7"/>
      <c r="P47" s="110"/>
      <c r="Q47" s="110"/>
      <c r="R47" s="110"/>
      <c r="S47" s="110"/>
      <c r="T47" s="110"/>
      <c r="U47" s="110"/>
      <c r="V47" s="110"/>
      <c r="W47" s="110"/>
      <c r="X47" s="110"/>
      <c r="Y47" s="110"/>
      <c r="Z47" s="110"/>
      <c r="AA47" s="9"/>
    </row>
    <row r="48" spans="2:27" ht="19.350000000000001" customHeight="1">
      <c r="B48" s="7"/>
      <c r="C48" s="98"/>
      <c r="D48" s="98"/>
      <c r="E48" s="98"/>
      <c r="F48" s="98"/>
      <c r="G48" s="98"/>
      <c r="H48" s="98"/>
      <c r="I48" s="98"/>
      <c r="J48" s="98"/>
      <c r="K48" s="98"/>
      <c r="L48" s="98"/>
      <c r="M48" s="98"/>
      <c r="N48" s="9"/>
      <c r="O48" s="7"/>
      <c r="P48" s="110"/>
      <c r="Q48" s="110"/>
      <c r="R48" s="110"/>
      <c r="S48" s="110"/>
      <c r="T48" s="110"/>
      <c r="U48" s="110"/>
      <c r="V48" s="110"/>
      <c r="W48" s="110"/>
      <c r="X48" s="110"/>
      <c r="Y48" s="110"/>
      <c r="Z48" s="110"/>
      <c r="AA48" s="9"/>
    </row>
    <row r="49" spans="2:27" ht="19.350000000000001" customHeight="1">
      <c r="B49" s="17">
        <v>0.14000000000000001</v>
      </c>
      <c r="C49" s="15" t="str">
        <f>IF(B49&gt;0,"+"&amp;B49,B49)&amp;"% vs 2021"</f>
        <v>+0,14% vs 2021</v>
      </c>
      <c r="D49" s="16"/>
      <c r="E49" s="16"/>
      <c r="F49" s="16"/>
      <c r="G49" s="16"/>
      <c r="H49" s="16"/>
      <c r="I49" s="16"/>
      <c r="J49" s="16"/>
      <c r="K49" s="16"/>
      <c r="L49" s="16"/>
      <c r="M49" s="16"/>
      <c r="N49" s="9"/>
      <c r="O49" s="17">
        <v>-0.14000000000000001</v>
      </c>
      <c r="P49" s="15" t="str">
        <f>IF(O49&gt;0,"+"&amp;O49,O49)&amp;"% vs 2021"</f>
        <v>-0,14% vs 2021</v>
      </c>
      <c r="Q49" s="16"/>
      <c r="R49" s="16"/>
      <c r="S49" s="16"/>
      <c r="T49" s="16"/>
      <c r="U49" s="16"/>
      <c r="V49" s="16"/>
      <c r="W49" s="16"/>
      <c r="X49" s="16"/>
      <c r="Y49" s="16"/>
      <c r="Z49" s="16"/>
      <c r="AA49" s="9"/>
    </row>
    <row r="50" spans="2:27" ht="19.350000000000001" customHeight="1">
      <c r="B50" s="17">
        <v>1E-3</v>
      </c>
      <c r="C50" s="14"/>
      <c r="D50" s="14"/>
      <c r="E50" s="14"/>
      <c r="F50" s="14"/>
      <c r="G50" s="8"/>
      <c r="H50" s="8"/>
      <c r="I50" s="8"/>
      <c r="J50" s="8"/>
      <c r="K50" s="8"/>
      <c r="L50" s="8"/>
      <c r="M50" s="8"/>
      <c r="N50" s="9"/>
      <c r="O50" s="17">
        <v>1E-3</v>
      </c>
      <c r="P50" s="14"/>
      <c r="Q50" s="14"/>
      <c r="R50" s="14"/>
      <c r="S50" s="14"/>
      <c r="T50" s="8"/>
      <c r="U50" s="8"/>
      <c r="V50" s="8"/>
      <c r="W50" s="8"/>
      <c r="X50" s="8"/>
      <c r="Y50" s="8"/>
      <c r="Z50" s="8"/>
      <c r="AA50" s="9"/>
    </row>
    <row r="51" spans="2:27" ht="19.350000000000001" customHeight="1">
      <c r="B51" s="7"/>
      <c r="C51" s="95"/>
      <c r="D51" s="95"/>
      <c r="E51" s="95"/>
      <c r="F51" s="95"/>
      <c r="G51" s="95"/>
      <c r="H51" s="95"/>
      <c r="I51" s="95"/>
      <c r="J51" s="95"/>
      <c r="K51" s="95"/>
      <c r="L51" s="95"/>
      <c r="M51" s="95"/>
      <c r="N51" s="9"/>
      <c r="O51" s="7"/>
      <c r="P51" s="95"/>
      <c r="Q51" s="95"/>
      <c r="R51" s="95"/>
      <c r="S51" s="95"/>
      <c r="T51" s="95"/>
      <c r="U51" s="95"/>
      <c r="V51" s="95"/>
      <c r="W51" s="95"/>
      <c r="X51" s="95"/>
      <c r="Y51" s="95"/>
      <c r="Z51" s="95"/>
      <c r="AA51" s="9"/>
    </row>
    <row r="52" spans="2:27" ht="19.350000000000001" customHeight="1">
      <c r="B52" s="7"/>
      <c r="C52" s="8"/>
      <c r="D52" s="8"/>
      <c r="E52" s="8"/>
      <c r="F52" s="8"/>
      <c r="G52" s="8"/>
      <c r="H52" s="8"/>
      <c r="I52" s="8"/>
      <c r="J52" s="8"/>
      <c r="K52" s="8"/>
      <c r="L52" s="8"/>
      <c r="M52" s="8"/>
      <c r="N52" s="9"/>
      <c r="O52" s="7"/>
      <c r="P52" s="8"/>
      <c r="Q52" s="8"/>
      <c r="R52" s="8"/>
      <c r="S52" s="8"/>
      <c r="T52" s="8"/>
      <c r="U52" s="8"/>
      <c r="V52" s="8"/>
      <c r="W52" s="8"/>
      <c r="X52" s="8"/>
      <c r="Y52" s="8"/>
      <c r="Z52" s="8"/>
      <c r="AA52" s="9"/>
    </row>
    <row r="53" spans="2:27" ht="19.350000000000001" customHeight="1">
      <c r="B53" s="10"/>
      <c r="C53" s="11"/>
      <c r="D53" s="11"/>
      <c r="E53" s="11"/>
      <c r="F53" s="11"/>
      <c r="G53" s="11"/>
      <c r="H53" s="11"/>
      <c r="I53" s="11"/>
      <c r="J53" s="11"/>
      <c r="K53" s="11"/>
      <c r="L53" s="11"/>
      <c r="M53" s="11"/>
      <c r="N53" s="12"/>
      <c r="O53" s="10"/>
      <c r="P53" s="11"/>
      <c r="Q53" s="11"/>
      <c r="R53" s="11"/>
      <c r="S53" s="11"/>
      <c r="T53" s="11"/>
      <c r="U53" s="11"/>
      <c r="V53" s="11"/>
      <c r="W53" s="11"/>
      <c r="X53" s="11"/>
      <c r="Y53" s="11"/>
      <c r="Z53" s="11"/>
      <c r="AA53" s="12"/>
    </row>
    <row r="54" spans="2:27" ht="19.350000000000001" customHeight="1">
      <c r="B54" s="4"/>
      <c r="C54" s="5"/>
      <c r="D54" s="5"/>
      <c r="E54" s="5"/>
      <c r="F54" s="5"/>
      <c r="G54" s="5"/>
      <c r="H54" s="5"/>
      <c r="I54" s="5"/>
      <c r="J54" s="5"/>
      <c r="K54" s="5"/>
      <c r="L54" s="5"/>
      <c r="M54" s="5"/>
      <c r="N54" s="6"/>
      <c r="O54" s="4"/>
      <c r="P54" s="5"/>
      <c r="Q54" s="5"/>
      <c r="R54" s="5"/>
      <c r="S54" s="5"/>
      <c r="T54" s="5"/>
      <c r="U54" s="5"/>
      <c r="V54" s="5"/>
      <c r="W54" s="5"/>
      <c r="X54" s="5"/>
      <c r="Y54" s="5"/>
      <c r="Z54" s="5"/>
      <c r="AA54" s="6"/>
    </row>
    <row r="55" spans="2:27" ht="19.350000000000001" customHeight="1">
      <c r="B55" s="7"/>
      <c r="C55" s="8"/>
      <c r="D55" s="8"/>
      <c r="E55" s="8"/>
      <c r="F55" s="8"/>
      <c r="G55" s="8"/>
      <c r="H55" s="8"/>
      <c r="I55" s="8"/>
      <c r="J55" s="8"/>
      <c r="K55" s="8"/>
      <c r="L55" s="8"/>
      <c r="M55" s="8"/>
      <c r="N55" s="9"/>
      <c r="O55" s="7"/>
      <c r="P55" s="8"/>
      <c r="Q55" s="8"/>
      <c r="R55" s="8"/>
      <c r="S55" s="8"/>
      <c r="T55" s="8"/>
      <c r="U55" s="8"/>
      <c r="V55" s="8"/>
      <c r="W55" s="8"/>
      <c r="X55" s="8"/>
      <c r="Y55" s="8"/>
      <c r="Z55" s="8"/>
      <c r="AA55" s="9"/>
    </row>
    <row r="56" spans="2:27" ht="19.350000000000001" customHeight="1">
      <c r="B56" s="7"/>
      <c r="C56" s="8"/>
      <c r="D56" s="8"/>
      <c r="E56" s="8"/>
      <c r="F56" s="8"/>
      <c r="G56" s="8"/>
      <c r="H56" s="8"/>
      <c r="I56" s="8"/>
      <c r="J56" s="8"/>
      <c r="K56" s="8"/>
      <c r="L56" s="8"/>
      <c r="M56" s="8"/>
      <c r="N56" s="9"/>
      <c r="O56" s="7"/>
      <c r="P56" s="8"/>
      <c r="Q56" s="8"/>
      <c r="R56" s="8"/>
      <c r="S56" s="8"/>
      <c r="T56" s="8"/>
      <c r="U56" s="8"/>
      <c r="V56" s="8"/>
      <c r="W56" s="8"/>
      <c r="X56" s="8"/>
      <c r="Y56" s="8"/>
      <c r="Z56" s="8"/>
      <c r="AA56" s="9"/>
    </row>
    <row r="57" spans="2:27" ht="19.350000000000001" customHeight="1">
      <c r="B57" s="7"/>
      <c r="C57" s="19"/>
      <c r="D57" s="19"/>
      <c r="E57" s="19"/>
      <c r="F57" s="19"/>
      <c r="G57" s="19"/>
      <c r="H57" s="19"/>
      <c r="I57" s="19"/>
      <c r="J57" s="19"/>
      <c r="K57" s="19"/>
      <c r="L57" s="19"/>
      <c r="M57" s="19"/>
      <c r="N57" s="9"/>
      <c r="O57" s="7"/>
      <c r="P57" s="19"/>
      <c r="Q57" s="19"/>
      <c r="R57" s="19"/>
      <c r="S57" s="19"/>
      <c r="T57" s="19"/>
      <c r="U57" s="19"/>
      <c r="V57" s="19"/>
      <c r="W57" s="19"/>
      <c r="X57" s="19"/>
      <c r="Y57" s="19"/>
      <c r="Z57" s="19"/>
      <c r="AA57" s="9"/>
    </row>
    <row r="58" spans="2:27" ht="19.350000000000001" customHeight="1">
      <c r="B58" s="7"/>
      <c r="C58" s="19"/>
      <c r="D58" s="19"/>
      <c r="E58" s="19"/>
      <c r="F58" s="19"/>
      <c r="G58" s="19"/>
      <c r="H58" s="19"/>
      <c r="I58" s="19"/>
      <c r="J58" s="19"/>
      <c r="K58" s="19"/>
      <c r="L58" s="19"/>
      <c r="M58" s="19"/>
      <c r="N58" s="9"/>
      <c r="O58" s="7"/>
      <c r="P58" s="19"/>
      <c r="Q58" s="19"/>
      <c r="R58" s="19"/>
      <c r="S58" s="19"/>
      <c r="T58" s="19"/>
      <c r="U58" s="19"/>
      <c r="V58" s="19"/>
      <c r="W58" s="19"/>
      <c r="X58" s="19"/>
      <c r="Y58" s="19"/>
      <c r="Z58" s="19"/>
      <c r="AA58" s="9"/>
    </row>
    <row r="59" spans="2:27" ht="19.350000000000001" customHeight="1">
      <c r="B59" s="7"/>
      <c r="C59" s="19"/>
      <c r="D59" s="19"/>
      <c r="E59" s="19"/>
      <c r="F59" s="19"/>
      <c r="G59" s="19"/>
      <c r="H59" s="19"/>
      <c r="I59" s="19"/>
      <c r="J59" s="19"/>
      <c r="K59" s="19"/>
      <c r="L59" s="19"/>
      <c r="M59" s="19"/>
      <c r="N59" s="9"/>
      <c r="O59" s="7"/>
      <c r="P59" s="19"/>
      <c r="Q59" s="19"/>
      <c r="R59" s="19"/>
      <c r="S59" s="19"/>
      <c r="T59" s="19"/>
      <c r="U59" s="19"/>
      <c r="V59" s="19"/>
      <c r="W59" s="19"/>
      <c r="X59" s="19"/>
      <c r="Y59" s="19"/>
      <c r="Z59" s="19"/>
      <c r="AA59" s="9"/>
    </row>
    <row r="60" spans="2:27" ht="20.100000000000001" customHeight="1">
      <c r="B60" s="7"/>
      <c r="C60" s="19"/>
      <c r="D60" s="19"/>
      <c r="E60" s="19"/>
      <c r="F60" s="19"/>
      <c r="G60" s="19"/>
      <c r="H60" s="19"/>
      <c r="I60" s="19"/>
      <c r="J60" s="19"/>
      <c r="K60" s="19"/>
      <c r="L60" s="19"/>
      <c r="M60" s="19"/>
      <c r="N60" s="9"/>
      <c r="O60" s="7"/>
      <c r="P60" s="19"/>
      <c r="Q60" s="19"/>
      <c r="R60" s="19"/>
      <c r="S60" s="19"/>
      <c r="T60" s="19"/>
      <c r="U60" s="19"/>
      <c r="V60" s="19"/>
      <c r="W60" s="19"/>
      <c r="X60" s="19"/>
      <c r="Y60" s="19"/>
      <c r="Z60" s="19"/>
      <c r="AA60" s="9"/>
    </row>
    <row r="61" spans="2:27" ht="20.100000000000001" customHeight="1">
      <c r="B61" s="7"/>
      <c r="C61" s="19"/>
      <c r="D61" s="19"/>
      <c r="E61" s="19"/>
      <c r="F61" s="19"/>
      <c r="G61" s="19"/>
      <c r="H61" s="19"/>
      <c r="I61" s="19"/>
      <c r="J61" s="19"/>
      <c r="K61" s="19"/>
      <c r="L61" s="19"/>
      <c r="M61" s="19"/>
      <c r="N61" s="9"/>
      <c r="O61" s="7"/>
      <c r="P61" s="19"/>
      <c r="Q61" s="19"/>
      <c r="R61" s="19"/>
      <c r="S61" s="19"/>
      <c r="T61" s="19"/>
      <c r="U61" s="19"/>
      <c r="V61" s="19"/>
      <c r="W61" s="19"/>
      <c r="X61" s="19"/>
      <c r="Y61" s="19"/>
      <c r="Z61" s="19"/>
      <c r="AA61" s="9"/>
    </row>
    <row r="62" spans="2:27" ht="20.100000000000001" customHeight="1">
      <c r="B62" s="7"/>
      <c r="C62" s="19"/>
      <c r="D62" s="19"/>
      <c r="E62" s="19"/>
      <c r="F62" s="19"/>
      <c r="G62" s="19"/>
      <c r="H62" s="19"/>
      <c r="I62" s="19"/>
      <c r="J62" s="19"/>
      <c r="K62" s="19"/>
      <c r="L62" s="19"/>
      <c r="M62" s="19"/>
      <c r="N62" s="9"/>
      <c r="O62" s="7"/>
      <c r="P62" s="19"/>
      <c r="Q62" s="19"/>
      <c r="R62" s="19"/>
      <c r="S62" s="19"/>
      <c r="T62" s="19"/>
      <c r="U62" s="19"/>
      <c r="V62" s="19"/>
      <c r="W62" s="19"/>
      <c r="X62" s="19"/>
      <c r="Y62" s="19"/>
      <c r="Z62" s="19"/>
      <c r="AA62" s="9"/>
    </row>
    <row r="63" spans="2:27" ht="20.100000000000001" customHeight="1">
      <c r="B63" s="17">
        <v>7.0000000000000007E-2</v>
      </c>
      <c r="C63" s="19"/>
      <c r="D63" s="19"/>
      <c r="E63" s="19"/>
      <c r="F63" s="19"/>
      <c r="G63" s="19"/>
      <c r="H63" s="19"/>
      <c r="I63" s="19"/>
      <c r="J63" s="19"/>
      <c r="K63" s="19"/>
      <c r="L63" s="19"/>
      <c r="M63" s="19"/>
      <c r="N63" s="9"/>
      <c r="O63" s="17">
        <v>7.0000000000000007E-2</v>
      </c>
      <c r="P63" s="19"/>
      <c r="Q63" s="19"/>
      <c r="R63" s="19"/>
      <c r="S63" s="19"/>
      <c r="T63" s="19"/>
      <c r="U63" s="19"/>
      <c r="V63" s="19"/>
      <c r="W63" s="19"/>
      <c r="X63" s="19"/>
      <c r="Y63" s="19"/>
      <c r="Z63" s="19"/>
      <c r="AA63" s="9"/>
    </row>
    <row r="64" spans="2:27" ht="20.100000000000001" customHeight="1">
      <c r="B64" s="7"/>
      <c r="C64" s="19"/>
      <c r="D64" s="19"/>
      <c r="E64" s="19"/>
      <c r="F64" s="19"/>
      <c r="G64" s="19"/>
      <c r="H64" s="19"/>
      <c r="I64" s="19"/>
      <c r="J64" s="19"/>
      <c r="K64" s="19"/>
      <c r="L64" s="19"/>
      <c r="M64" s="19"/>
      <c r="N64" s="9"/>
      <c r="O64" s="7"/>
      <c r="P64" s="19"/>
      <c r="Q64" s="19"/>
      <c r="R64" s="19"/>
      <c r="S64" s="19"/>
      <c r="T64" s="19"/>
      <c r="U64" s="19"/>
      <c r="V64" s="19"/>
      <c r="W64" s="19"/>
      <c r="X64" s="19"/>
      <c r="Y64" s="19"/>
      <c r="Z64" s="19"/>
      <c r="AA64" s="9"/>
    </row>
    <row r="65" spans="2:27" ht="20.100000000000001" customHeight="1">
      <c r="B65" s="7"/>
      <c r="C65" s="19"/>
      <c r="D65" s="19"/>
      <c r="E65" s="19"/>
      <c r="F65" s="19"/>
      <c r="G65" s="19"/>
      <c r="H65" s="19"/>
      <c r="I65" s="19"/>
      <c r="J65" s="19"/>
      <c r="K65" s="19"/>
      <c r="L65" s="19"/>
      <c r="M65" s="19"/>
      <c r="N65" s="9"/>
      <c r="O65" s="7"/>
      <c r="P65" s="19"/>
      <c r="Q65" s="19"/>
      <c r="R65" s="19"/>
      <c r="S65" s="19"/>
      <c r="T65" s="19"/>
      <c r="U65" s="19"/>
      <c r="V65" s="19"/>
      <c r="W65" s="19"/>
      <c r="X65" s="19"/>
      <c r="Y65" s="19"/>
      <c r="Z65" s="19"/>
      <c r="AA65" s="9"/>
    </row>
    <row r="66" spans="2:27" ht="20.100000000000001" customHeight="1">
      <c r="B66" s="7"/>
      <c r="C66" s="8"/>
      <c r="D66" s="8"/>
      <c r="E66" s="8"/>
      <c r="F66" s="8"/>
      <c r="G66" s="8"/>
      <c r="H66" s="8"/>
      <c r="I66" s="8"/>
      <c r="J66" s="8"/>
      <c r="K66" s="8"/>
      <c r="L66" s="8"/>
      <c r="M66" s="8"/>
      <c r="N66" s="9"/>
      <c r="O66" s="7"/>
      <c r="P66" s="8"/>
      <c r="Q66" s="8"/>
      <c r="R66" s="8"/>
      <c r="S66" s="8"/>
      <c r="T66" s="8"/>
      <c r="U66" s="8"/>
      <c r="V66" s="8"/>
      <c r="W66" s="8"/>
      <c r="X66" s="8"/>
      <c r="Y66" s="8"/>
      <c r="Z66" s="8"/>
      <c r="AA66" s="9"/>
    </row>
    <row r="67" spans="2:27" ht="20.100000000000001" customHeight="1">
      <c r="B67" s="10"/>
      <c r="C67" s="11"/>
      <c r="D67" s="11"/>
      <c r="E67" s="11"/>
      <c r="F67" s="11"/>
      <c r="G67" s="11"/>
      <c r="H67" s="11"/>
      <c r="I67" s="11"/>
      <c r="J67" s="11"/>
      <c r="K67" s="11"/>
      <c r="L67" s="11"/>
      <c r="M67" s="11"/>
      <c r="N67" s="12"/>
      <c r="O67" s="10"/>
      <c r="P67" s="11"/>
      <c r="Q67" s="11"/>
      <c r="R67" s="11"/>
      <c r="S67" s="11"/>
      <c r="T67" s="11"/>
      <c r="U67" s="11"/>
      <c r="V67" s="11"/>
      <c r="W67" s="11"/>
      <c r="X67" s="11"/>
      <c r="Y67" s="11"/>
      <c r="Z67" s="11"/>
      <c r="AA67" s="12"/>
    </row>
    <row r="68" spans="2:27" ht="20.100000000000001" customHeight="1">
      <c r="B68" s="4"/>
      <c r="C68" s="5"/>
      <c r="D68" s="5"/>
      <c r="E68" s="5"/>
      <c r="F68" s="5"/>
      <c r="G68" s="5"/>
      <c r="H68" s="5"/>
      <c r="I68" s="5"/>
      <c r="J68" s="5"/>
      <c r="K68" s="5"/>
      <c r="L68" s="5"/>
      <c r="M68" s="5"/>
      <c r="N68" s="6"/>
      <c r="O68" s="4"/>
      <c r="P68" s="5"/>
      <c r="Q68" s="5"/>
      <c r="R68" s="5"/>
      <c r="S68" s="5"/>
      <c r="T68" s="5"/>
      <c r="U68" s="5"/>
      <c r="V68" s="5"/>
      <c r="W68" s="5"/>
      <c r="X68" s="5"/>
      <c r="Y68" s="5"/>
      <c r="Z68" s="5"/>
      <c r="AA68" s="6"/>
    </row>
    <row r="69" spans="2:27" ht="20.100000000000001" customHeight="1">
      <c r="B69" s="7"/>
      <c r="C69" s="8"/>
      <c r="D69" s="8"/>
      <c r="E69" s="8"/>
      <c r="F69" s="8"/>
      <c r="G69" s="8"/>
      <c r="H69" s="8"/>
      <c r="I69" s="8"/>
      <c r="J69" s="8"/>
      <c r="K69" s="8"/>
      <c r="L69" s="8"/>
      <c r="M69" s="8"/>
      <c r="N69" s="9"/>
      <c r="O69" s="7"/>
      <c r="P69" s="8"/>
      <c r="Q69" s="8"/>
      <c r="R69" s="8"/>
      <c r="S69" s="8"/>
      <c r="T69" s="8"/>
      <c r="U69" s="8"/>
      <c r="V69" s="8"/>
      <c r="W69" s="8"/>
      <c r="X69" s="8"/>
      <c r="Y69" s="8"/>
      <c r="Z69" s="8"/>
      <c r="AA69" s="9"/>
    </row>
    <row r="70" spans="2:27" ht="20.100000000000001" customHeight="1">
      <c r="B70" s="7"/>
      <c r="C70" s="8"/>
      <c r="D70" s="8"/>
      <c r="E70" s="8"/>
      <c r="F70" s="8"/>
      <c r="G70" s="8"/>
      <c r="H70" s="8"/>
      <c r="I70" s="8"/>
      <c r="J70" s="8"/>
      <c r="K70" s="8"/>
      <c r="L70" s="8"/>
      <c r="M70" s="8"/>
      <c r="N70" s="9"/>
      <c r="O70" s="7"/>
      <c r="P70" s="8"/>
      <c r="Q70" s="8"/>
      <c r="R70" s="8"/>
      <c r="S70" s="8"/>
      <c r="T70" s="8"/>
      <c r="U70" s="8"/>
      <c r="V70" s="8"/>
      <c r="W70" s="8"/>
      <c r="X70" s="8"/>
      <c r="Y70" s="8"/>
      <c r="Z70" s="8"/>
      <c r="AA70" s="9"/>
    </row>
    <row r="71" spans="2:27" ht="20.100000000000001" customHeight="1">
      <c r="B71" s="7"/>
      <c r="C71" s="96" t="s">
        <v>56</v>
      </c>
      <c r="D71" s="96"/>
      <c r="E71" s="96"/>
      <c r="F71" s="96"/>
      <c r="G71" s="96"/>
      <c r="H71" s="96"/>
      <c r="I71" s="96"/>
      <c r="J71" s="96"/>
      <c r="K71" s="96"/>
      <c r="L71" s="96"/>
      <c r="M71" s="96"/>
      <c r="N71" s="9"/>
      <c r="O71" s="7"/>
      <c r="P71" s="96" t="s">
        <v>57</v>
      </c>
      <c r="Q71" s="96"/>
      <c r="R71" s="96"/>
      <c r="S71" s="96"/>
      <c r="T71" s="96"/>
      <c r="U71" s="96"/>
      <c r="V71" s="96"/>
      <c r="W71" s="96"/>
      <c r="X71" s="96"/>
      <c r="Y71" s="96"/>
      <c r="Z71" s="96"/>
      <c r="AA71" s="9"/>
    </row>
    <row r="72" spans="2:27" ht="20.100000000000001" customHeight="1">
      <c r="B72" s="7"/>
      <c r="C72" s="96"/>
      <c r="D72" s="96"/>
      <c r="E72" s="96"/>
      <c r="F72" s="96"/>
      <c r="G72" s="96"/>
      <c r="H72" s="96"/>
      <c r="I72" s="96"/>
      <c r="J72" s="96"/>
      <c r="K72" s="96"/>
      <c r="L72" s="96"/>
      <c r="M72" s="96"/>
      <c r="N72" s="9"/>
      <c r="O72" s="7"/>
      <c r="P72" s="96"/>
      <c r="Q72" s="96"/>
      <c r="R72" s="96"/>
      <c r="S72" s="96"/>
      <c r="T72" s="96"/>
      <c r="U72" s="96"/>
      <c r="V72" s="96"/>
      <c r="W72" s="96"/>
      <c r="X72" s="96"/>
      <c r="Y72" s="96"/>
      <c r="Z72" s="96"/>
      <c r="AA72" s="9"/>
    </row>
    <row r="73" spans="2:27" ht="20.100000000000001" customHeight="1">
      <c r="B73" s="7"/>
      <c r="C73" s="96"/>
      <c r="D73" s="96"/>
      <c r="E73" s="96"/>
      <c r="F73" s="96"/>
      <c r="G73" s="96"/>
      <c r="H73" s="96"/>
      <c r="I73" s="96"/>
      <c r="J73" s="96"/>
      <c r="K73" s="96"/>
      <c r="L73" s="96"/>
      <c r="M73" s="96"/>
      <c r="N73" s="9"/>
      <c r="O73" s="7"/>
      <c r="P73" s="96"/>
      <c r="Q73" s="96"/>
      <c r="R73" s="96"/>
      <c r="S73" s="96"/>
      <c r="T73" s="96"/>
      <c r="U73" s="96"/>
      <c r="V73" s="96"/>
      <c r="W73" s="96"/>
      <c r="X73" s="96"/>
      <c r="Y73" s="96"/>
      <c r="Z73" s="96"/>
      <c r="AA73" s="9"/>
    </row>
    <row r="74" spans="2:27" ht="20.100000000000001" customHeight="1">
      <c r="B74" s="7"/>
      <c r="C74" s="108">
        <f>'Financial Statements'!I45</f>
        <v>9.9459999999999997</v>
      </c>
      <c r="D74" s="108"/>
      <c r="E74" s="108"/>
      <c r="F74" s="14"/>
      <c r="G74" s="8"/>
      <c r="H74" s="8"/>
      <c r="I74" s="8"/>
      <c r="J74" s="8"/>
      <c r="K74" s="8"/>
      <c r="L74" s="8"/>
      <c r="M74" s="8"/>
      <c r="N74" s="9"/>
      <c r="O74" s="7"/>
      <c r="P74" s="98">
        <f>'Financial Statements'!I46</f>
        <v>4674000</v>
      </c>
      <c r="Q74" s="98"/>
      <c r="R74" s="98"/>
      <c r="S74" s="14"/>
      <c r="T74" s="8"/>
      <c r="U74" s="8"/>
      <c r="V74" s="8"/>
      <c r="W74" s="8"/>
      <c r="X74" s="8"/>
      <c r="Y74" s="8"/>
      <c r="Z74" s="8"/>
      <c r="AA74" s="9"/>
    </row>
    <row r="75" spans="2:27" ht="20.100000000000001" customHeight="1">
      <c r="B75" s="7"/>
      <c r="C75" s="108"/>
      <c r="D75" s="108"/>
      <c r="E75" s="108"/>
      <c r="F75" s="14"/>
      <c r="G75" s="8"/>
      <c r="H75" s="8"/>
      <c r="I75" s="8"/>
      <c r="J75" s="8"/>
      <c r="K75" s="8"/>
      <c r="L75" s="8"/>
      <c r="M75" s="8"/>
      <c r="N75" s="9"/>
      <c r="O75" s="7"/>
      <c r="P75" s="98"/>
      <c r="Q75" s="98"/>
      <c r="R75" s="98"/>
      <c r="S75" s="14"/>
      <c r="T75" s="8"/>
      <c r="U75" s="8"/>
      <c r="V75" s="8"/>
      <c r="W75" s="8"/>
      <c r="X75" s="8"/>
      <c r="Y75" s="8"/>
      <c r="Z75" s="8"/>
      <c r="AA75" s="9"/>
    </row>
    <row r="76" spans="2:27" ht="20.100000000000001" customHeight="1">
      <c r="B76" s="7"/>
      <c r="C76" s="108"/>
      <c r="D76" s="108"/>
      <c r="E76" s="108"/>
      <c r="F76" s="14"/>
      <c r="G76" s="8"/>
      <c r="H76" s="8"/>
      <c r="I76" s="8"/>
      <c r="J76" s="8"/>
      <c r="K76" s="8"/>
      <c r="L76" s="8"/>
      <c r="M76" s="8"/>
      <c r="N76" s="9"/>
      <c r="O76" s="7"/>
      <c r="P76" s="98"/>
      <c r="Q76" s="98"/>
      <c r="R76" s="98"/>
      <c r="S76" s="14"/>
      <c r="T76" s="8"/>
      <c r="U76" s="8"/>
      <c r="V76" s="8"/>
      <c r="W76" s="8"/>
      <c r="X76" s="8"/>
      <c r="Y76" s="8"/>
      <c r="Z76" s="8"/>
      <c r="AA76" s="9"/>
    </row>
    <row r="77" spans="2:27" ht="20.100000000000001" customHeight="1">
      <c r="B77" s="17">
        <v>-0.12</v>
      </c>
      <c r="C77" s="15" t="str">
        <f>IF(B77&gt;0,"+"&amp;B77,B77)&amp;"% vs 2021"</f>
        <v>-0,12% vs 2021</v>
      </c>
      <c r="D77" s="16"/>
      <c r="E77" s="16"/>
      <c r="F77" s="16"/>
      <c r="G77" s="16"/>
      <c r="H77" s="16"/>
      <c r="I77" s="16"/>
      <c r="J77" s="16"/>
      <c r="K77" s="16"/>
      <c r="L77" s="16"/>
      <c r="M77" s="16"/>
      <c r="N77" s="9"/>
      <c r="O77" s="17">
        <v>0.13</v>
      </c>
      <c r="P77" s="15" t="str">
        <f>IF(O77&gt;0,"+"&amp;O77,O77)&amp;"% vs 2021"</f>
        <v>+0,13% vs 2021</v>
      </c>
      <c r="Q77" s="16"/>
      <c r="R77" s="16"/>
      <c r="S77" s="16"/>
      <c r="T77" s="16"/>
      <c r="U77" s="16"/>
      <c r="V77" s="16"/>
      <c r="W77" s="16"/>
      <c r="X77" s="16"/>
      <c r="Y77" s="16"/>
      <c r="Z77" s="16"/>
      <c r="AA77" s="9"/>
    </row>
    <row r="78" spans="2:27" ht="20.100000000000001" customHeight="1">
      <c r="B78" s="7"/>
      <c r="C78" s="14"/>
      <c r="D78" s="14"/>
      <c r="E78" s="14"/>
      <c r="F78" s="14"/>
      <c r="G78" s="8"/>
      <c r="H78" s="8"/>
      <c r="I78" s="8"/>
      <c r="J78" s="8"/>
      <c r="K78" s="8"/>
      <c r="L78" s="8"/>
      <c r="M78" s="8"/>
      <c r="N78" s="9"/>
      <c r="O78" s="7"/>
      <c r="P78" s="14"/>
      <c r="Q78" s="14"/>
      <c r="R78" s="14"/>
      <c r="S78" s="14"/>
      <c r="T78" s="8"/>
      <c r="U78" s="8"/>
      <c r="V78" s="8"/>
      <c r="W78" s="8"/>
      <c r="X78" s="8"/>
      <c r="Y78" s="8"/>
      <c r="Z78" s="8"/>
      <c r="AA78" s="9"/>
    </row>
    <row r="79" spans="2:27" ht="20.100000000000001" customHeight="1">
      <c r="B79" s="7"/>
      <c r="C79" s="95"/>
      <c r="D79" s="95"/>
      <c r="E79" s="95"/>
      <c r="F79" s="95"/>
      <c r="G79" s="95"/>
      <c r="H79" s="95"/>
      <c r="I79" s="95"/>
      <c r="J79" s="95"/>
      <c r="K79" s="95"/>
      <c r="L79" s="95"/>
      <c r="M79" s="95"/>
      <c r="N79" s="9"/>
      <c r="O79" s="7"/>
      <c r="P79" s="95"/>
      <c r="Q79" s="95"/>
      <c r="R79" s="95"/>
      <c r="S79" s="95"/>
      <c r="T79" s="95"/>
      <c r="U79" s="95"/>
      <c r="V79" s="95"/>
      <c r="W79" s="95"/>
      <c r="X79" s="95"/>
      <c r="Y79" s="95"/>
      <c r="Z79" s="95"/>
      <c r="AA79" s="9"/>
    </row>
    <row r="80" spans="2:27" ht="20.100000000000001" customHeight="1">
      <c r="B80" s="7"/>
      <c r="C80" s="8"/>
      <c r="D80" s="8"/>
      <c r="E80" s="8"/>
      <c r="F80" s="8"/>
      <c r="G80" s="8"/>
      <c r="H80" s="8"/>
      <c r="I80" s="8"/>
      <c r="J80" s="8"/>
      <c r="K80" s="8"/>
      <c r="L80" s="8"/>
      <c r="M80" s="8"/>
      <c r="N80" s="9"/>
      <c r="O80" s="7"/>
      <c r="P80" s="8"/>
      <c r="Q80" s="8"/>
      <c r="R80" s="8"/>
      <c r="S80" s="8"/>
      <c r="T80" s="8"/>
      <c r="U80" s="8"/>
      <c r="V80" s="8"/>
      <c r="W80" s="8"/>
      <c r="X80" s="8"/>
      <c r="Y80" s="8"/>
      <c r="Z80" s="8"/>
      <c r="AA80" s="9"/>
    </row>
    <row r="81" spans="2:27" ht="20.100000000000001" customHeight="1">
      <c r="B81" s="10"/>
      <c r="C81" s="11"/>
      <c r="D81" s="11"/>
      <c r="E81" s="11"/>
      <c r="F81" s="11"/>
      <c r="G81" s="11"/>
      <c r="H81" s="11"/>
      <c r="I81" s="11"/>
      <c r="J81" s="11"/>
      <c r="K81" s="11"/>
      <c r="L81" s="11"/>
      <c r="M81" s="11"/>
      <c r="N81" s="12"/>
      <c r="O81" s="10"/>
      <c r="P81" s="11"/>
      <c r="Q81" s="11"/>
      <c r="R81" s="11"/>
      <c r="S81" s="11"/>
      <c r="T81" s="11"/>
      <c r="U81" s="11"/>
      <c r="V81" s="11"/>
      <c r="W81" s="11"/>
      <c r="X81" s="11"/>
      <c r="Y81" s="11"/>
      <c r="Z81" s="11"/>
      <c r="AA81" s="12"/>
    </row>
    <row r="82" spans="2:27" ht="20.100000000000001" customHeight="1">
      <c r="B82" s="4"/>
      <c r="C82" s="5"/>
      <c r="D82" s="5"/>
      <c r="E82" s="5"/>
      <c r="F82" s="5"/>
      <c r="G82" s="5"/>
      <c r="H82" s="5"/>
      <c r="I82" s="5"/>
      <c r="J82" s="5"/>
      <c r="K82" s="5"/>
      <c r="L82" s="5"/>
      <c r="M82" s="5"/>
      <c r="N82" s="6"/>
      <c r="O82" s="4"/>
      <c r="P82" s="5"/>
      <c r="Q82" s="5"/>
      <c r="R82" s="5"/>
      <c r="S82" s="5"/>
      <c r="T82" s="5"/>
      <c r="U82" s="5"/>
      <c r="V82" s="5"/>
      <c r="W82" s="5"/>
      <c r="X82" s="5"/>
      <c r="Y82" s="5"/>
      <c r="Z82" s="5"/>
      <c r="AA82" s="6"/>
    </row>
    <row r="83" spans="2:27" ht="20.100000000000001" customHeight="1">
      <c r="B83" s="7"/>
      <c r="C83" s="8"/>
      <c r="D83" s="8"/>
      <c r="E83" s="8"/>
      <c r="F83" s="8"/>
      <c r="G83" s="8"/>
      <c r="H83" s="8"/>
      <c r="I83" s="8"/>
      <c r="J83" s="8"/>
      <c r="K83" s="8"/>
      <c r="L83" s="8"/>
      <c r="M83" s="8"/>
      <c r="N83" s="9"/>
      <c r="O83" s="7"/>
      <c r="P83" s="8"/>
      <c r="Q83" s="8"/>
      <c r="R83" s="8"/>
      <c r="S83" s="8"/>
      <c r="T83" s="8"/>
      <c r="U83" s="8"/>
      <c r="V83" s="8"/>
      <c r="W83" s="8"/>
      <c r="X83" s="8"/>
      <c r="Y83" s="8"/>
      <c r="Z83" s="8"/>
      <c r="AA83" s="9"/>
    </row>
    <row r="84" spans="2:27" ht="20.100000000000001" customHeight="1">
      <c r="B84" s="7"/>
      <c r="C84" s="8"/>
      <c r="D84" s="8"/>
      <c r="E84" s="8"/>
      <c r="F84" s="8"/>
      <c r="G84" s="8"/>
      <c r="H84" s="8"/>
      <c r="I84" s="8"/>
      <c r="J84" s="8"/>
      <c r="K84" s="8"/>
      <c r="L84" s="8"/>
      <c r="M84" s="8"/>
      <c r="N84" s="9"/>
      <c r="O84" s="7"/>
      <c r="P84" s="8"/>
      <c r="Q84" s="8"/>
      <c r="R84" s="8"/>
      <c r="S84" s="8"/>
      <c r="T84" s="8"/>
      <c r="U84" s="8"/>
      <c r="V84" s="8"/>
      <c r="W84" s="8"/>
      <c r="X84" s="8"/>
      <c r="Y84" s="8"/>
      <c r="Z84" s="8"/>
      <c r="AA84" s="9"/>
    </row>
    <row r="85" spans="2:27" ht="20.100000000000001" customHeight="1">
      <c r="B85" s="7"/>
      <c r="C85" s="19"/>
      <c r="D85" s="19"/>
      <c r="E85" s="19"/>
      <c r="F85" s="19"/>
      <c r="G85" s="19"/>
      <c r="H85" s="19"/>
      <c r="I85" s="19"/>
      <c r="J85" s="19"/>
      <c r="K85" s="19"/>
      <c r="L85" s="19"/>
      <c r="M85" s="19"/>
      <c r="N85" s="9"/>
      <c r="O85" s="7"/>
      <c r="P85" s="19"/>
      <c r="Q85" s="19"/>
      <c r="R85" s="19"/>
      <c r="S85" s="19"/>
      <c r="T85" s="19"/>
      <c r="U85" s="19"/>
      <c r="V85" s="19"/>
      <c r="W85" s="19"/>
      <c r="X85" s="19"/>
      <c r="Y85" s="19"/>
      <c r="Z85" s="19"/>
      <c r="AA85" s="9"/>
    </row>
    <row r="86" spans="2:27" ht="20.100000000000001" customHeight="1">
      <c r="B86" s="7"/>
      <c r="C86" s="19"/>
      <c r="D86" s="19"/>
      <c r="E86" s="19"/>
      <c r="F86" s="19"/>
      <c r="G86" s="19"/>
      <c r="H86" s="19"/>
      <c r="I86" s="19"/>
      <c r="J86" s="19"/>
      <c r="K86" s="19"/>
      <c r="L86" s="19"/>
      <c r="M86" s="19"/>
      <c r="N86" s="9"/>
      <c r="O86" s="7"/>
      <c r="P86" s="19"/>
      <c r="Q86" s="19"/>
      <c r="R86" s="19"/>
      <c r="S86" s="19"/>
      <c r="T86" s="19"/>
      <c r="U86" s="19"/>
      <c r="V86" s="19"/>
      <c r="W86" s="19"/>
      <c r="X86" s="19"/>
      <c r="Y86" s="19"/>
      <c r="Z86" s="19"/>
      <c r="AA86" s="9"/>
    </row>
    <row r="87" spans="2:27" ht="20.100000000000001" customHeight="1">
      <c r="B87" s="7"/>
      <c r="C87" s="19"/>
      <c r="D87" s="19"/>
      <c r="E87" s="19"/>
      <c r="F87" s="19"/>
      <c r="G87" s="19"/>
      <c r="H87" s="19"/>
      <c r="I87" s="19"/>
      <c r="J87" s="19"/>
      <c r="K87" s="19"/>
      <c r="L87" s="19"/>
      <c r="M87" s="19"/>
      <c r="N87" s="9"/>
      <c r="O87" s="7"/>
      <c r="P87" s="19"/>
      <c r="Q87" s="19"/>
      <c r="R87" s="19"/>
      <c r="S87" s="19"/>
      <c r="T87" s="19"/>
      <c r="U87" s="19"/>
      <c r="V87" s="19"/>
      <c r="W87" s="19"/>
      <c r="X87" s="19"/>
      <c r="Y87" s="19"/>
      <c r="Z87" s="19"/>
      <c r="AA87" s="9"/>
    </row>
    <row r="88" spans="2:27" ht="20.100000000000001" customHeight="1">
      <c r="B88" s="7"/>
      <c r="C88" s="19"/>
      <c r="D88" s="19"/>
      <c r="E88" s="19"/>
      <c r="F88" s="19"/>
      <c r="G88" s="19"/>
      <c r="H88" s="19"/>
      <c r="I88" s="19"/>
      <c r="J88" s="19"/>
      <c r="K88" s="19"/>
      <c r="L88" s="19"/>
      <c r="M88" s="19"/>
      <c r="N88" s="9"/>
      <c r="O88" s="7"/>
      <c r="P88" s="19"/>
      <c r="Q88" s="19"/>
      <c r="R88" s="19"/>
      <c r="S88" s="19"/>
      <c r="T88" s="19"/>
      <c r="U88" s="19"/>
      <c r="V88" s="19"/>
      <c r="W88" s="19"/>
      <c r="X88" s="19"/>
      <c r="Y88" s="19"/>
      <c r="Z88" s="19"/>
      <c r="AA88" s="9"/>
    </row>
    <row r="89" spans="2:27" ht="20.100000000000001" customHeight="1">
      <c r="B89" s="7"/>
      <c r="C89" s="19"/>
      <c r="D89" s="19"/>
      <c r="E89" s="19"/>
      <c r="F89" s="19"/>
      <c r="G89" s="19"/>
      <c r="H89" s="19"/>
      <c r="I89" s="19"/>
      <c r="J89" s="19"/>
      <c r="K89" s="19"/>
      <c r="L89" s="19"/>
      <c r="M89" s="19"/>
      <c r="N89" s="9"/>
      <c r="O89" s="7"/>
      <c r="P89" s="19"/>
      <c r="Q89" s="19"/>
      <c r="R89" s="19"/>
      <c r="S89" s="19"/>
      <c r="T89" s="19"/>
      <c r="U89" s="19"/>
      <c r="V89" s="19"/>
      <c r="W89" s="19"/>
      <c r="X89" s="19"/>
      <c r="Y89" s="19"/>
      <c r="Z89" s="19"/>
      <c r="AA89" s="9"/>
    </row>
    <row r="90" spans="2:27" ht="20.100000000000001" customHeight="1">
      <c r="B90" s="7"/>
      <c r="C90" s="19"/>
      <c r="D90" s="19"/>
      <c r="E90" s="19"/>
      <c r="F90" s="19"/>
      <c r="G90" s="19"/>
      <c r="H90" s="19"/>
      <c r="I90" s="19"/>
      <c r="J90" s="19"/>
      <c r="K90" s="19"/>
      <c r="L90" s="19"/>
      <c r="M90" s="19"/>
      <c r="N90" s="9"/>
      <c r="O90" s="7"/>
      <c r="P90" s="19"/>
      <c r="Q90" s="19"/>
      <c r="R90" s="19"/>
      <c r="S90" s="19"/>
      <c r="T90" s="19"/>
      <c r="U90" s="19"/>
      <c r="V90" s="19"/>
      <c r="W90" s="19"/>
      <c r="X90" s="19"/>
      <c r="Y90" s="19"/>
      <c r="Z90" s="19"/>
      <c r="AA90" s="9"/>
    </row>
    <row r="91" spans="2:27" ht="20.100000000000001" customHeight="1">
      <c r="B91" s="17">
        <v>7.0000000000000007E-2</v>
      </c>
      <c r="C91" s="19"/>
      <c r="D91" s="19"/>
      <c r="E91" s="19"/>
      <c r="F91" s="19"/>
      <c r="G91" s="19"/>
      <c r="H91" s="19"/>
      <c r="I91" s="19"/>
      <c r="J91" s="19"/>
      <c r="K91" s="19"/>
      <c r="L91" s="19"/>
      <c r="M91" s="19"/>
      <c r="N91" s="9"/>
      <c r="O91" s="17">
        <v>7.0000000000000007E-2</v>
      </c>
      <c r="P91" s="19"/>
      <c r="Q91" s="19"/>
      <c r="R91" s="19"/>
      <c r="S91" s="19"/>
      <c r="T91" s="19"/>
      <c r="U91" s="19"/>
      <c r="V91" s="19"/>
      <c r="W91" s="19"/>
      <c r="X91" s="19"/>
      <c r="Y91" s="19"/>
      <c r="Z91" s="19"/>
      <c r="AA91" s="9"/>
    </row>
    <row r="92" spans="2:27" ht="20.100000000000001" customHeight="1">
      <c r="B92" s="7"/>
      <c r="C92" s="19"/>
      <c r="D92" s="19"/>
      <c r="E92" s="19"/>
      <c r="F92" s="19"/>
      <c r="G92" s="19"/>
      <c r="H92" s="19"/>
      <c r="I92" s="19"/>
      <c r="J92" s="19"/>
      <c r="K92" s="19"/>
      <c r="L92" s="19"/>
      <c r="M92" s="19"/>
      <c r="N92" s="9"/>
      <c r="O92" s="7"/>
      <c r="P92" s="19"/>
      <c r="Q92" s="19"/>
      <c r="R92" s="19"/>
      <c r="S92" s="19"/>
      <c r="T92" s="19"/>
      <c r="U92" s="19"/>
      <c r="V92" s="19"/>
      <c r="W92" s="19"/>
      <c r="X92" s="19"/>
      <c r="Y92" s="19"/>
      <c r="Z92" s="19"/>
      <c r="AA92" s="9"/>
    </row>
    <row r="93" spans="2:27" ht="20.100000000000001" customHeight="1">
      <c r="B93" s="7"/>
      <c r="C93" s="19"/>
      <c r="D93" s="19"/>
      <c r="E93" s="19"/>
      <c r="F93" s="19"/>
      <c r="G93" s="19"/>
      <c r="H93" s="19"/>
      <c r="I93" s="19"/>
      <c r="J93" s="19"/>
      <c r="K93" s="19"/>
      <c r="L93" s="19"/>
      <c r="M93" s="19"/>
      <c r="N93" s="9"/>
      <c r="O93" s="7"/>
      <c r="P93" s="19"/>
      <c r="Q93" s="19"/>
      <c r="R93" s="19"/>
      <c r="S93" s="19"/>
      <c r="T93" s="19"/>
      <c r="U93" s="19"/>
      <c r="V93" s="19"/>
      <c r="W93" s="19"/>
      <c r="X93" s="19"/>
      <c r="Y93" s="19"/>
      <c r="Z93" s="19"/>
      <c r="AA93" s="9"/>
    </row>
    <row r="94" spans="2:27" ht="20.100000000000001" customHeight="1">
      <c r="B94" s="7"/>
      <c r="C94" s="8"/>
      <c r="D94" s="8"/>
      <c r="E94" s="8"/>
      <c r="F94" s="8"/>
      <c r="G94" s="8"/>
      <c r="H94" s="8"/>
      <c r="I94" s="8"/>
      <c r="J94" s="8"/>
      <c r="K94" s="8"/>
      <c r="L94" s="8"/>
      <c r="M94" s="8"/>
      <c r="N94" s="9"/>
      <c r="O94" s="7"/>
      <c r="P94" s="8"/>
      <c r="Q94" s="8"/>
      <c r="R94" s="8"/>
      <c r="S94" s="8"/>
      <c r="T94" s="8"/>
      <c r="U94" s="8"/>
      <c r="V94" s="8"/>
      <c r="W94" s="8"/>
      <c r="X94" s="8"/>
      <c r="Y94" s="8"/>
      <c r="Z94" s="8"/>
      <c r="AA94" s="9"/>
    </row>
    <row r="95" spans="2:27" ht="20.100000000000001" customHeight="1">
      <c r="B95" s="10"/>
      <c r="C95" s="11"/>
      <c r="D95" s="11"/>
      <c r="E95" s="11"/>
      <c r="F95" s="11"/>
      <c r="G95" s="11"/>
      <c r="H95" s="11"/>
      <c r="I95" s="11"/>
      <c r="J95" s="11"/>
      <c r="K95" s="11"/>
      <c r="L95" s="11"/>
      <c r="M95" s="11"/>
      <c r="N95" s="12"/>
      <c r="O95" s="10"/>
      <c r="P95" s="11"/>
      <c r="Q95" s="11"/>
      <c r="R95" s="11"/>
      <c r="S95" s="11"/>
      <c r="T95" s="11"/>
      <c r="U95" s="11"/>
      <c r="V95" s="11"/>
      <c r="W95" s="11"/>
      <c r="X95" s="11"/>
      <c r="Y95" s="11"/>
      <c r="Z95" s="11"/>
      <c r="AA95" s="12"/>
    </row>
    <row r="96" spans="2:27" ht="20.100000000000001" customHeight="1">
      <c r="B96" s="4"/>
      <c r="C96" s="5"/>
      <c r="D96" s="5"/>
      <c r="E96" s="5"/>
      <c r="F96" s="5"/>
      <c r="G96" s="5"/>
      <c r="H96" s="5"/>
      <c r="I96" s="5"/>
      <c r="J96" s="5"/>
      <c r="K96" s="5"/>
      <c r="L96" s="5"/>
      <c r="M96" s="5"/>
      <c r="N96" s="6"/>
      <c r="O96" s="4"/>
      <c r="P96" s="5"/>
      <c r="Q96" s="5"/>
      <c r="R96" s="5"/>
      <c r="S96" s="5"/>
      <c r="T96" s="5"/>
      <c r="U96" s="5"/>
      <c r="V96" s="5"/>
      <c r="W96" s="5"/>
      <c r="X96" s="5"/>
      <c r="Y96" s="5"/>
      <c r="Z96" s="5"/>
      <c r="AA96" s="6"/>
    </row>
    <row r="97" spans="2:27" ht="20.100000000000001" customHeight="1">
      <c r="B97" s="7"/>
      <c r="C97" s="8"/>
      <c r="D97" s="8"/>
      <c r="E97" s="8"/>
      <c r="F97" s="8"/>
      <c r="G97" s="8"/>
      <c r="H97" s="8"/>
      <c r="I97" s="8"/>
      <c r="J97" s="8"/>
      <c r="K97" s="8"/>
      <c r="L97" s="8"/>
      <c r="M97" s="8"/>
      <c r="N97" s="9"/>
      <c r="O97" s="7"/>
      <c r="P97" s="8"/>
      <c r="Q97" s="8"/>
      <c r="R97" s="8"/>
      <c r="S97" s="8"/>
      <c r="T97" s="8"/>
      <c r="U97" s="8"/>
      <c r="V97" s="8"/>
      <c r="W97" s="8"/>
      <c r="X97" s="8"/>
      <c r="Y97" s="8"/>
      <c r="Z97" s="8"/>
      <c r="AA97" s="9"/>
    </row>
    <row r="98" spans="2:27" ht="20.100000000000001" customHeight="1">
      <c r="B98" s="7"/>
      <c r="C98" s="8"/>
      <c r="D98" s="8"/>
      <c r="E98" s="8"/>
      <c r="F98" s="8"/>
      <c r="G98" s="8"/>
      <c r="H98" s="8"/>
      <c r="I98" s="8"/>
      <c r="J98" s="8"/>
      <c r="K98" s="8"/>
      <c r="L98" s="8"/>
      <c r="M98" s="8"/>
      <c r="N98" s="9"/>
      <c r="O98" s="7"/>
      <c r="P98" s="8"/>
      <c r="Q98" s="8"/>
      <c r="R98" s="8"/>
      <c r="S98" s="8"/>
      <c r="T98" s="8"/>
      <c r="U98" s="8"/>
      <c r="V98" s="8"/>
      <c r="W98" s="8"/>
      <c r="X98" s="8"/>
      <c r="Y98" s="8"/>
      <c r="Z98" s="8"/>
      <c r="AA98" s="9"/>
    </row>
    <row r="99" spans="2:27" ht="20.100000000000001" customHeight="1">
      <c r="B99" s="7"/>
      <c r="C99" s="96" t="s">
        <v>58</v>
      </c>
      <c r="D99" s="96"/>
      <c r="E99" s="96"/>
      <c r="F99" s="96"/>
      <c r="G99" s="96"/>
      <c r="H99" s="96"/>
      <c r="I99" s="96"/>
      <c r="J99" s="96"/>
      <c r="K99" s="96"/>
      <c r="L99" s="96"/>
      <c r="M99" s="96"/>
      <c r="N99" s="9"/>
      <c r="O99" s="7"/>
      <c r="P99" s="96" t="s">
        <v>59</v>
      </c>
      <c r="Q99" s="96"/>
      <c r="R99" s="96"/>
      <c r="S99" s="96"/>
      <c r="T99" s="96"/>
      <c r="U99" s="96"/>
      <c r="V99" s="96"/>
      <c r="W99" s="96"/>
      <c r="X99" s="96"/>
      <c r="Y99" s="96"/>
      <c r="Z99" s="96"/>
      <c r="AA99" s="9"/>
    </row>
    <row r="100" spans="2:27" ht="20.100000000000001" customHeight="1">
      <c r="B100" s="7"/>
      <c r="C100" s="96"/>
      <c r="D100" s="96"/>
      <c r="E100" s="96"/>
      <c r="F100" s="96"/>
      <c r="G100" s="96"/>
      <c r="H100" s="96"/>
      <c r="I100" s="96"/>
      <c r="J100" s="96"/>
      <c r="K100" s="96"/>
      <c r="L100" s="96"/>
      <c r="M100" s="96"/>
      <c r="N100" s="9"/>
      <c r="O100" s="7"/>
      <c r="P100" s="96"/>
      <c r="Q100" s="96"/>
      <c r="R100" s="96"/>
      <c r="S100" s="96"/>
      <c r="T100" s="96"/>
      <c r="U100" s="96"/>
      <c r="V100" s="96"/>
      <c r="W100" s="96"/>
      <c r="X100" s="96"/>
      <c r="Y100" s="96"/>
      <c r="Z100" s="96"/>
      <c r="AA100" s="9"/>
    </row>
    <row r="101" spans="2:27" ht="20.100000000000001" customHeight="1">
      <c r="B101" s="7"/>
      <c r="C101" s="96"/>
      <c r="D101" s="96"/>
      <c r="E101" s="96"/>
      <c r="F101" s="96"/>
      <c r="G101" s="96"/>
      <c r="H101" s="96"/>
      <c r="I101" s="96"/>
      <c r="J101" s="96"/>
      <c r="K101" s="96"/>
      <c r="L101" s="96"/>
      <c r="M101" s="96"/>
      <c r="N101" s="9"/>
      <c r="O101" s="7"/>
      <c r="P101" s="96"/>
      <c r="Q101" s="96"/>
      <c r="R101" s="96"/>
      <c r="S101" s="96"/>
      <c r="T101" s="96"/>
      <c r="U101" s="96"/>
      <c r="V101" s="96"/>
      <c r="W101" s="96"/>
      <c r="X101" s="96"/>
      <c r="Y101" s="96"/>
      <c r="Z101" s="96"/>
      <c r="AA101" s="9"/>
    </row>
    <row r="102" spans="2:27" ht="20.100000000000001" customHeight="1">
      <c r="B102" s="7"/>
      <c r="C102" s="98">
        <f>'Financial Statements'!I47</f>
        <v>39143800</v>
      </c>
      <c r="D102" s="98"/>
      <c r="E102" s="98"/>
      <c r="F102" s="98"/>
      <c r="G102" s="98"/>
      <c r="H102" s="98"/>
      <c r="I102" s="98"/>
      <c r="J102" s="98"/>
      <c r="K102" s="98"/>
      <c r="L102" s="98"/>
      <c r="M102" s="98"/>
      <c r="N102" s="9"/>
      <c r="O102" s="7"/>
      <c r="P102" s="110">
        <f>'Financial Statements'!I48</f>
        <v>12.530025608194622</v>
      </c>
      <c r="Q102" s="110"/>
      <c r="R102" s="110"/>
      <c r="S102" s="110"/>
      <c r="T102" s="110"/>
      <c r="U102" s="110"/>
      <c r="V102" s="110"/>
      <c r="W102" s="110"/>
      <c r="X102" s="110"/>
      <c r="Y102" s="110"/>
      <c r="Z102" s="110"/>
      <c r="AA102" s="9"/>
    </row>
    <row r="103" spans="2:27" ht="20.100000000000001" customHeight="1">
      <c r="B103" s="7"/>
      <c r="C103" s="98"/>
      <c r="D103" s="98"/>
      <c r="E103" s="98"/>
      <c r="F103" s="98"/>
      <c r="G103" s="98"/>
      <c r="H103" s="98"/>
      <c r="I103" s="98"/>
      <c r="J103" s="98"/>
      <c r="K103" s="98"/>
      <c r="L103" s="98"/>
      <c r="M103" s="98"/>
      <c r="N103" s="9"/>
      <c r="O103" s="7"/>
      <c r="P103" s="110"/>
      <c r="Q103" s="110"/>
      <c r="R103" s="110"/>
      <c r="S103" s="110"/>
      <c r="T103" s="110"/>
      <c r="U103" s="110"/>
      <c r="V103" s="110"/>
      <c r="W103" s="110"/>
      <c r="X103" s="110"/>
      <c r="Y103" s="110"/>
      <c r="Z103" s="110"/>
      <c r="AA103" s="9"/>
    </row>
    <row r="104" spans="2:27" ht="20.100000000000001" customHeight="1">
      <c r="B104" s="7"/>
      <c r="C104" s="98"/>
      <c r="D104" s="98"/>
      <c r="E104" s="98"/>
      <c r="F104" s="98"/>
      <c r="G104" s="98"/>
      <c r="H104" s="98"/>
      <c r="I104" s="98"/>
      <c r="J104" s="98"/>
      <c r="K104" s="98"/>
      <c r="L104" s="98"/>
      <c r="M104" s="98"/>
      <c r="N104" s="9"/>
      <c r="O104" s="7"/>
      <c r="P104" s="110"/>
      <c r="Q104" s="110"/>
      <c r="R104" s="110"/>
      <c r="S104" s="110"/>
      <c r="T104" s="110"/>
      <c r="U104" s="110"/>
      <c r="V104" s="110"/>
      <c r="W104" s="110"/>
      <c r="X104" s="110"/>
      <c r="Y104" s="110"/>
      <c r="Z104" s="110"/>
      <c r="AA104" s="9"/>
    </row>
    <row r="105" spans="2:27" ht="20.100000000000001" customHeight="1">
      <c r="B105" s="17">
        <v>0.14000000000000001</v>
      </c>
      <c r="C105" s="15" t="str">
        <f>IF(B105&gt;0,"+"&amp;B105,B105)&amp;"% vs 2021"</f>
        <v>+0,14% vs 2021</v>
      </c>
      <c r="D105" s="16"/>
      <c r="E105" s="16"/>
      <c r="F105" s="16"/>
      <c r="G105" s="16"/>
      <c r="H105" s="16"/>
      <c r="I105" s="16"/>
      <c r="J105" s="16"/>
      <c r="K105" s="16"/>
      <c r="L105" s="16"/>
      <c r="M105" s="16"/>
      <c r="N105" s="9"/>
      <c r="O105" s="17">
        <v>-0.14000000000000001</v>
      </c>
      <c r="P105" s="15" t="str">
        <f>IF(O105&gt;0,"+"&amp;O105,O105)&amp;"% vs 2021"</f>
        <v>-0,14% vs 2021</v>
      </c>
      <c r="Q105" s="16"/>
      <c r="R105" s="16"/>
      <c r="S105" s="16"/>
      <c r="T105" s="16"/>
      <c r="U105" s="16"/>
      <c r="V105" s="16"/>
      <c r="W105" s="16"/>
      <c r="X105" s="16"/>
      <c r="Y105" s="16"/>
      <c r="Z105" s="16"/>
      <c r="AA105" s="9"/>
    </row>
    <row r="106" spans="2:27" ht="20.100000000000001" customHeight="1">
      <c r="B106" s="17">
        <v>1E-3</v>
      </c>
      <c r="C106" s="14"/>
      <c r="D106" s="14"/>
      <c r="E106" s="14"/>
      <c r="F106" s="14"/>
      <c r="G106" s="8"/>
      <c r="H106" s="8"/>
      <c r="I106" s="8"/>
      <c r="J106" s="8"/>
      <c r="K106" s="8"/>
      <c r="L106" s="8"/>
      <c r="M106" s="8"/>
      <c r="N106" s="9"/>
      <c r="O106" s="17">
        <v>1E-3</v>
      </c>
      <c r="P106" s="14"/>
      <c r="Q106" s="14"/>
      <c r="R106" s="14"/>
      <c r="S106" s="14"/>
      <c r="T106" s="8"/>
      <c r="U106" s="8"/>
      <c r="V106" s="8"/>
      <c r="W106" s="8"/>
      <c r="X106" s="8"/>
      <c r="Y106" s="8"/>
      <c r="Z106" s="8"/>
      <c r="AA106" s="9"/>
    </row>
    <row r="107" spans="2:27" ht="20.100000000000001" customHeight="1">
      <c r="B107" s="7"/>
      <c r="C107" s="95"/>
      <c r="D107" s="95"/>
      <c r="E107" s="95"/>
      <c r="F107" s="95"/>
      <c r="G107" s="95"/>
      <c r="H107" s="95"/>
      <c r="I107" s="95"/>
      <c r="J107" s="95"/>
      <c r="K107" s="95"/>
      <c r="L107" s="95"/>
      <c r="M107" s="95"/>
      <c r="N107" s="9"/>
      <c r="O107" s="7"/>
      <c r="P107" s="95"/>
      <c r="Q107" s="95"/>
      <c r="R107" s="95"/>
      <c r="S107" s="95"/>
      <c r="T107" s="95"/>
      <c r="U107" s="95"/>
      <c r="V107" s="95"/>
      <c r="W107" s="95"/>
      <c r="X107" s="95"/>
      <c r="Y107" s="95"/>
      <c r="Z107" s="95"/>
      <c r="AA107" s="9"/>
    </row>
    <row r="108" spans="2:27" ht="20.100000000000001" customHeight="1">
      <c r="B108" s="7"/>
      <c r="C108" s="8"/>
      <c r="D108" s="8"/>
      <c r="E108" s="8"/>
      <c r="F108" s="8"/>
      <c r="G108" s="8"/>
      <c r="H108" s="8"/>
      <c r="I108" s="8"/>
      <c r="J108" s="8"/>
      <c r="K108" s="8"/>
      <c r="L108" s="8"/>
      <c r="M108" s="8"/>
      <c r="N108" s="9"/>
      <c r="O108" s="7"/>
      <c r="P108" s="8"/>
      <c r="Q108" s="8"/>
      <c r="R108" s="8"/>
      <c r="S108" s="8"/>
      <c r="T108" s="8"/>
      <c r="U108" s="8"/>
      <c r="V108" s="8"/>
      <c r="W108" s="8"/>
      <c r="X108" s="8"/>
      <c r="Y108" s="8"/>
      <c r="Z108" s="8"/>
      <c r="AA108" s="9"/>
    </row>
    <row r="109" spans="2:27" ht="20.100000000000001" customHeight="1">
      <c r="B109" s="10"/>
      <c r="C109" s="11"/>
      <c r="D109" s="11"/>
      <c r="E109" s="11"/>
      <c r="F109" s="11"/>
      <c r="G109" s="11"/>
      <c r="H109" s="11"/>
      <c r="I109" s="11"/>
      <c r="J109" s="11"/>
      <c r="K109" s="11"/>
      <c r="L109" s="11"/>
      <c r="M109" s="11"/>
      <c r="N109" s="12"/>
      <c r="O109" s="10"/>
      <c r="P109" s="11"/>
      <c r="Q109" s="11"/>
      <c r="R109" s="11"/>
      <c r="S109" s="11"/>
      <c r="T109" s="11"/>
      <c r="U109" s="11"/>
      <c r="V109" s="11"/>
      <c r="W109" s="11"/>
      <c r="X109" s="11"/>
      <c r="Y109" s="11"/>
      <c r="Z109" s="11"/>
      <c r="AA109" s="12"/>
    </row>
    <row r="110" spans="2:27" ht="20.100000000000001" customHeight="1">
      <c r="B110" s="4"/>
      <c r="C110" s="5"/>
      <c r="D110" s="5"/>
      <c r="E110" s="5"/>
      <c r="F110" s="5"/>
      <c r="G110" s="5"/>
      <c r="H110" s="5"/>
      <c r="I110" s="5"/>
      <c r="J110" s="5"/>
      <c r="K110" s="5"/>
      <c r="L110" s="5"/>
      <c r="M110" s="5"/>
      <c r="N110" s="6"/>
      <c r="O110" s="4"/>
      <c r="P110" s="5"/>
      <c r="Q110" s="5"/>
      <c r="R110" s="5"/>
      <c r="S110" s="5"/>
      <c r="T110" s="5"/>
      <c r="U110" s="5"/>
      <c r="V110" s="5"/>
      <c r="W110" s="5"/>
      <c r="X110" s="5"/>
      <c r="Y110" s="5"/>
      <c r="Z110" s="5"/>
      <c r="AA110" s="6"/>
    </row>
    <row r="111" spans="2:27" ht="20.100000000000001" customHeight="1">
      <c r="B111" s="7"/>
      <c r="C111" s="8"/>
      <c r="D111" s="8"/>
      <c r="E111" s="8"/>
      <c r="F111" s="8"/>
      <c r="G111" s="8"/>
      <c r="H111" s="8"/>
      <c r="I111" s="8"/>
      <c r="J111" s="8"/>
      <c r="K111" s="8"/>
      <c r="L111" s="8"/>
      <c r="M111" s="8"/>
      <c r="N111" s="9"/>
      <c r="O111" s="7"/>
      <c r="P111" s="8"/>
      <c r="Q111" s="8"/>
      <c r="R111" s="8"/>
      <c r="S111" s="8"/>
      <c r="T111" s="8"/>
      <c r="U111" s="8"/>
      <c r="V111" s="8"/>
      <c r="W111" s="8"/>
      <c r="X111" s="8"/>
      <c r="Y111" s="8"/>
      <c r="Z111" s="8"/>
      <c r="AA111" s="9"/>
    </row>
    <row r="112" spans="2:27" ht="20.100000000000001" customHeight="1">
      <c r="B112" s="7"/>
      <c r="C112" s="8"/>
      <c r="D112" s="8"/>
      <c r="E112" s="8"/>
      <c r="F112" s="8"/>
      <c r="G112" s="8"/>
      <c r="H112" s="8"/>
      <c r="I112" s="8"/>
      <c r="J112" s="8"/>
      <c r="K112" s="8"/>
      <c r="L112" s="8"/>
      <c r="M112" s="8"/>
      <c r="N112" s="9"/>
      <c r="O112" s="7"/>
      <c r="P112" s="8"/>
      <c r="Q112" s="8"/>
      <c r="R112" s="8"/>
      <c r="S112" s="8"/>
      <c r="T112" s="8"/>
      <c r="U112" s="8"/>
      <c r="V112" s="8"/>
      <c r="W112" s="8"/>
      <c r="X112" s="8"/>
      <c r="Y112" s="8"/>
      <c r="Z112" s="8"/>
      <c r="AA112" s="9"/>
    </row>
    <row r="113" spans="2:27" ht="20.100000000000001" customHeight="1">
      <c r="B113" s="7"/>
      <c r="C113" s="19"/>
      <c r="D113" s="19"/>
      <c r="E113" s="19"/>
      <c r="F113" s="19"/>
      <c r="G113" s="19"/>
      <c r="H113" s="19"/>
      <c r="I113" s="19"/>
      <c r="J113" s="19"/>
      <c r="K113" s="19"/>
      <c r="L113" s="19"/>
      <c r="M113" s="19"/>
      <c r="N113" s="9"/>
      <c r="O113" s="7"/>
      <c r="P113" s="19"/>
      <c r="Q113" s="19"/>
      <c r="R113" s="19"/>
      <c r="S113" s="19"/>
      <c r="T113" s="19"/>
      <c r="U113" s="19"/>
      <c r="V113" s="19"/>
      <c r="W113" s="19"/>
      <c r="X113" s="19"/>
      <c r="Y113" s="19"/>
      <c r="Z113" s="19"/>
      <c r="AA113" s="9"/>
    </row>
    <row r="114" spans="2:27" ht="20.100000000000001" customHeight="1">
      <c r="B114" s="7"/>
      <c r="C114" s="19"/>
      <c r="D114" s="19"/>
      <c r="E114" s="19"/>
      <c r="F114" s="19"/>
      <c r="G114" s="19"/>
      <c r="H114" s="19"/>
      <c r="I114" s="19"/>
      <c r="J114" s="19"/>
      <c r="K114" s="19"/>
      <c r="L114" s="19"/>
      <c r="M114" s="19"/>
      <c r="N114" s="9"/>
      <c r="O114" s="7"/>
      <c r="P114" s="19"/>
      <c r="Q114" s="19"/>
      <c r="R114" s="19"/>
      <c r="S114" s="19"/>
      <c r="T114" s="19"/>
      <c r="U114" s="19"/>
      <c r="V114" s="19"/>
      <c r="W114" s="19"/>
      <c r="X114" s="19"/>
      <c r="Y114" s="19"/>
      <c r="Z114" s="19"/>
      <c r="AA114" s="9"/>
    </row>
    <row r="115" spans="2:27" ht="20.100000000000001" customHeight="1">
      <c r="B115" s="7"/>
      <c r="C115" s="19"/>
      <c r="D115" s="19"/>
      <c r="E115" s="19"/>
      <c r="F115" s="19"/>
      <c r="G115" s="19"/>
      <c r="H115" s="19"/>
      <c r="I115" s="19"/>
      <c r="J115" s="19"/>
      <c r="K115" s="19"/>
      <c r="L115" s="19"/>
      <c r="M115" s="19"/>
      <c r="N115" s="9"/>
      <c r="O115" s="7"/>
      <c r="P115" s="19"/>
      <c r="Q115" s="19"/>
      <c r="R115" s="19"/>
      <c r="S115" s="19"/>
      <c r="T115" s="19"/>
      <c r="U115" s="19"/>
      <c r="V115" s="19"/>
      <c r="W115" s="19"/>
      <c r="X115" s="19"/>
      <c r="Y115" s="19"/>
      <c r="Z115" s="19"/>
      <c r="AA115" s="9"/>
    </row>
    <row r="116" spans="2:27" ht="20.100000000000001" customHeight="1">
      <c r="B116" s="7"/>
      <c r="C116" s="19"/>
      <c r="D116" s="19"/>
      <c r="E116" s="19"/>
      <c r="F116" s="19"/>
      <c r="G116" s="19"/>
      <c r="H116" s="19"/>
      <c r="I116" s="19"/>
      <c r="J116" s="19"/>
      <c r="K116" s="19"/>
      <c r="L116" s="19"/>
      <c r="M116" s="19"/>
      <c r="N116" s="9"/>
      <c r="O116" s="7"/>
      <c r="P116" s="19"/>
      <c r="Q116" s="19"/>
      <c r="R116" s="19"/>
      <c r="S116" s="19"/>
      <c r="T116" s="19"/>
      <c r="U116" s="19"/>
      <c r="V116" s="19"/>
      <c r="W116" s="19"/>
      <c r="X116" s="19"/>
      <c r="Y116" s="19"/>
      <c r="Z116" s="19"/>
      <c r="AA116" s="9"/>
    </row>
    <row r="117" spans="2:27" ht="20.100000000000001" customHeight="1">
      <c r="B117" s="7"/>
      <c r="C117" s="19"/>
      <c r="D117" s="19"/>
      <c r="E117" s="19"/>
      <c r="F117" s="19"/>
      <c r="G117" s="19"/>
      <c r="H117" s="19"/>
      <c r="I117" s="19"/>
      <c r="J117" s="19"/>
      <c r="K117" s="19"/>
      <c r="L117" s="19"/>
      <c r="M117" s="19"/>
      <c r="N117" s="9"/>
      <c r="O117" s="7"/>
      <c r="P117" s="19"/>
      <c r="Q117" s="19"/>
      <c r="R117" s="19"/>
      <c r="S117" s="19"/>
      <c r="T117" s="19"/>
      <c r="U117" s="19"/>
      <c r="V117" s="19"/>
      <c r="W117" s="19"/>
      <c r="X117" s="19"/>
      <c r="Y117" s="19"/>
      <c r="Z117" s="19"/>
      <c r="AA117" s="9"/>
    </row>
    <row r="118" spans="2:27" ht="20.100000000000001" customHeight="1">
      <c r="B118" s="7"/>
      <c r="C118" s="19"/>
      <c r="D118" s="19"/>
      <c r="E118" s="19"/>
      <c r="F118" s="19"/>
      <c r="G118" s="19"/>
      <c r="H118" s="19"/>
      <c r="I118" s="19"/>
      <c r="J118" s="19"/>
      <c r="K118" s="19"/>
      <c r="L118" s="19"/>
      <c r="M118" s="19"/>
      <c r="N118" s="9"/>
      <c r="O118" s="7"/>
      <c r="P118" s="19"/>
      <c r="Q118" s="19"/>
      <c r="R118" s="19"/>
      <c r="S118" s="19"/>
      <c r="T118" s="19"/>
      <c r="U118" s="19"/>
      <c r="V118" s="19"/>
      <c r="W118" s="19"/>
      <c r="X118" s="19"/>
      <c r="Y118" s="19"/>
      <c r="Z118" s="19"/>
      <c r="AA118" s="9"/>
    </row>
    <row r="119" spans="2:27" ht="20.100000000000001" customHeight="1">
      <c r="B119" s="17">
        <v>7.0000000000000007E-2</v>
      </c>
      <c r="C119" s="19"/>
      <c r="D119" s="19"/>
      <c r="E119" s="19"/>
      <c r="F119" s="19"/>
      <c r="G119" s="19"/>
      <c r="H119" s="19"/>
      <c r="I119" s="19"/>
      <c r="J119" s="19"/>
      <c r="K119" s="19"/>
      <c r="L119" s="19"/>
      <c r="M119" s="19"/>
      <c r="N119" s="9"/>
      <c r="O119" s="17">
        <v>7.0000000000000007E-2</v>
      </c>
      <c r="P119" s="19"/>
      <c r="Q119" s="19"/>
      <c r="R119" s="19"/>
      <c r="S119" s="19"/>
      <c r="T119" s="19"/>
      <c r="U119" s="19"/>
      <c r="V119" s="19"/>
      <c r="W119" s="19"/>
      <c r="X119" s="19"/>
      <c r="Y119" s="19"/>
      <c r="Z119" s="19"/>
      <c r="AA119" s="9"/>
    </row>
    <row r="120" spans="2:27" ht="20.100000000000001" customHeight="1">
      <c r="B120" s="7"/>
      <c r="C120" s="19"/>
      <c r="D120" s="19"/>
      <c r="E120" s="19"/>
      <c r="F120" s="19"/>
      <c r="G120" s="19"/>
      <c r="H120" s="19"/>
      <c r="I120" s="19"/>
      <c r="J120" s="19"/>
      <c r="K120" s="19"/>
      <c r="L120" s="19"/>
      <c r="M120" s="19"/>
      <c r="N120" s="9"/>
      <c r="O120" s="7"/>
      <c r="P120" s="19"/>
      <c r="Q120" s="19"/>
      <c r="R120" s="19"/>
      <c r="S120" s="19"/>
      <c r="T120" s="19"/>
      <c r="U120" s="19"/>
      <c r="V120" s="19"/>
      <c r="W120" s="19"/>
      <c r="X120" s="19"/>
      <c r="Y120" s="19"/>
      <c r="Z120" s="19"/>
      <c r="AA120" s="9"/>
    </row>
    <row r="121" spans="2:27" ht="20.100000000000001" customHeight="1">
      <c r="B121" s="7"/>
      <c r="C121" s="19"/>
      <c r="D121" s="19"/>
      <c r="E121" s="19"/>
      <c r="F121" s="19"/>
      <c r="G121" s="19"/>
      <c r="H121" s="19"/>
      <c r="I121" s="19"/>
      <c r="J121" s="19"/>
      <c r="K121" s="19"/>
      <c r="L121" s="19"/>
      <c r="M121" s="19"/>
      <c r="N121" s="9"/>
      <c r="O121" s="7"/>
      <c r="P121" s="19"/>
      <c r="Q121" s="19"/>
      <c r="R121" s="19"/>
      <c r="S121" s="19"/>
      <c r="T121" s="19"/>
      <c r="U121" s="19"/>
      <c r="V121" s="19"/>
      <c r="W121" s="19"/>
      <c r="X121" s="19"/>
      <c r="Y121" s="19"/>
      <c r="Z121" s="19"/>
      <c r="AA121" s="9"/>
    </row>
    <row r="122" spans="2:27" ht="20.100000000000001" customHeight="1">
      <c r="B122" s="7"/>
      <c r="C122" s="8"/>
      <c r="D122" s="8"/>
      <c r="E122" s="8"/>
      <c r="F122" s="8"/>
      <c r="G122" s="8"/>
      <c r="H122" s="8"/>
      <c r="I122" s="8"/>
      <c r="J122" s="8"/>
      <c r="K122" s="8"/>
      <c r="L122" s="8"/>
      <c r="M122" s="8"/>
      <c r="N122" s="9"/>
      <c r="O122" s="7"/>
      <c r="P122" s="8"/>
      <c r="Q122" s="8"/>
      <c r="R122" s="8"/>
      <c r="S122" s="8"/>
      <c r="T122" s="8"/>
      <c r="U122" s="8"/>
      <c r="V122" s="8"/>
      <c r="W122" s="8"/>
      <c r="X122" s="8"/>
      <c r="Y122" s="8"/>
      <c r="Z122" s="8"/>
      <c r="AA122" s="9"/>
    </row>
    <row r="123" spans="2:27" ht="20.100000000000001" customHeight="1">
      <c r="B123" s="10"/>
      <c r="C123" s="11"/>
      <c r="D123" s="11"/>
      <c r="E123" s="11"/>
      <c r="F123" s="11"/>
      <c r="G123" s="11"/>
      <c r="H123" s="11"/>
      <c r="I123" s="11"/>
      <c r="J123" s="11"/>
      <c r="K123" s="11"/>
      <c r="L123" s="11"/>
      <c r="M123" s="11"/>
      <c r="N123" s="12"/>
      <c r="O123" s="10"/>
      <c r="P123" s="11"/>
      <c r="Q123" s="11"/>
      <c r="R123" s="11"/>
      <c r="S123" s="11"/>
      <c r="T123" s="11"/>
      <c r="U123" s="11"/>
      <c r="V123" s="11"/>
      <c r="W123" s="11"/>
      <c r="X123" s="11"/>
      <c r="Y123" s="11"/>
      <c r="Z123" s="11"/>
      <c r="AA123" s="12"/>
    </row>
    <row r="124" spans="2:27" ht="20.100000000000001" customHeight="1">
      <c r="I124" s="4"/>
      <c r="J124" s="5"/>
      <c r="K124" s="5"/>
      <c r="L124" s="5"/>
      <c r="M124" s="5"/>
      <c r="N124" s="5"/>
      <c r="O124" s="5"/>
      <c r="P124" s="5"/>
      <c r="Q124" s="5"/>
      <c r="R124" s="5"/>
      <c r="S124" s="5"/>
      <c r="T124" s="5"/>
      <c r="U124" s="6"/>
    </row>
    <row r="125" spans="2:27" ht="20.100000000000001" customHeight="1">
      <c r="I125" s="7"/>
      <c r="J125" s="8"/>
      <c r="K125" s="8"/>
      <c r="L125" s="8"/>
      <c r="M125" s="8"/>
      <c r="N125" s="8"/>
      <c r="O125" s="8"/>
      <c r="P125" s="8"/>
      <c r="Q125" s="8"/>
      <c r="R125" s="8"/>
      <c r="S125" s="8"/>
      <c r="T125" s="8"/>
      <c r="U125" s="9"/>
    </row>
    <row r="126" spans="2:27" ht="20.100000000000001" customHeight="1">
      <c r="I126" s="7"/>
      <c r="J126" s="8"/>
      <c r="K126" s="8"/>
      <c r="L126" s="8"/>
      <c r="M126" s="8"/>
      <c r="N126" s="8"/>
      <c r="O126" s="8"/>
      <c r="P126" s="8"/>
      <c r="Q126" s="8"/>
      <c r="R126" s="8"/>
      <c r="S126" s="8"/>
      <c r="T126" s="8"/>
      <c r="U126" s="9"/>
    </row>
    <row r="127" spans="2:27" ht="20.100000000000001" customHeight="1">
      <c r="I127" s="7"/>
      <c r="J127" s="18" t="s">
        <v>46</v>
      </c>
      <c r="K127" s="18"/>
      <c r="L127" s="18"/>
      <c r="M127" s="18"/>
      <c r="N127" s="18"/>
      <c r="O127" s="18"/>
      <c r="P127" s="18"/>
      <c r="Q127" s="18"/>
      <c r="R127" s="18"/>
      <c r="S127" s="18"/>
      <c r="T127" s="18"/>
      <c r="U127" s="9"/>
    </row>
    <row r="128" spans="2:27" ht="20.100000000000001" customHeight="1">
      <c r="I128" s="7"/>
      <c r="J128" s="18"/>
      <c r="K128" s="18"/>
      <c r="L128" s="18"/>
      <c r="M128" s="18"/>
      <c r="N128" s="18"/>
      <c r="O128" s="18"/>
      <c r="P128" s="18"/>
      <c r="Q128" s="18"/>
      <c r="R128" s="18"/>
      <c r="S128" s="18"/>
      <c r="T128" s="18"/>
      <c r="U128" s="9"/>
    </row>
    <row r="129" spans="9:21" ht="20.100000000000001" customHeight="1">
      <c r="I129" s="7"/>
      <c r="J129" s="18"/>
      <c r="K129" s="18"/>
      <c r="L129" s="18"/>
      <c r="M129" s="18"/>
      <c r="N129" s="18"/>
      <c r="O129" s="18"/>
      <c r="P129" s="18"/>
      <c r="Q129" s="18"/>
      <c r="R129" s="18"/>
      <c r="S129" s="18"/>
      <c r="T129" s="18"/>
      <c r="U129" s="9"/>
    </row>
    <row r="130" spans="9:21" ht="20.100000000000001" customHeight="1">
      <c r="I130" s="7"/>
      <c r="J130" s="108">
        <f>'Financial Statements'!I49</f>
        <v>1.4961587708066582</v>
      </c>
      <c r="K130" s="108"/>
      <c r="L130" s="108"/>
      <c r="M130" s="108"/>
      <c r="N130" s="108"/>
      <c r="O130" s="108"/>
      <c r="P130" s="108"/>
      <c r="Q130" s="108"/>
      <c r="R130" s="108"/>
      <c r="S130" s="108"/>
      <c r="T130" s="108"/>
      <c r="U130" s="9"/>
    </row>
    <row r="131" spans="9:21" ht="20.100000000000001" customHeight="1">
      <c r="I131" s="7"/>
      <c r="J131" s="108"/>
      <c r="K131" s="108"/>
      <c r="L131" s="108"/>
      <c r="M131" s="108"/>
      <c r="N131" s="108"/>
      <c r="O131" s="108"/>
      <c r="P131" s="108"/>
      <c r="Q131" s="108"/>
      <c r="R131" s="108"/>
      <c r="S131" s="108"/>
      <c r="T131" s="108"/>
      <c r="U131" s="9"/>
    </row>
    <row r="132" spans="9:21" ht="20.100000000000001" customHeight="1">
      <c r="I132" s="7"/>
      <c r="J132" s="108"/>
      <c r="K132" s="108"/>
      <c r="L132" s="108"/>
      <c r="M132" s="108"/>
      <c r="N132" s="108"/>
      <c r="O132" s="108"/>
      <c r="P132" s="108"/>
      <c r="Q132" s="108"/>
      <c r="R132" s="108"/>
      <c r="S132" s="108"/>
      <c r="T132" s="108"/>
      <c r="U132" s="9"/>
    </row>
    <row r="133" spans="9:21" ht="20.100000000000001" customHeight="1">
      <c r="I133" s="17">
        <v>0.13</v>
      </c>
      <c r="J133" s="15" t="str">
        <f>IF(I133&gt;0,"+"&amp;I133,I133)&amp;"% vs 2021"</f>
        <v>+0,13% vs 2021</v>
      </c>
      <c r="K133" s="16"/>
      <c r="L133" s="16"/>
      <c r="M133" s="16"/>
      <c r="N133" s="16"/>
      <c r="O133" s="16"/>
      <c r="P133" s="16"/>
      <c r="Q133" s="16"/>
      <c r="R133" s="16"/>
      <c r="S133" s="16"/>
      <c r="T133" s="16"/>
      <c r="U133" s="9"/>
    </row>
    <row r="134" spans="9:21" ht="20.100000000000001" customHeight="1">
      <c r="I134" s="7"/>
      <c r="J134" s="14"/>
      <c r="K134" s="14"/>
      <c r="L134" s="14"/>
      <c r="M134" s="14"/>
      <c r="N134" s="8"/>
      <c r="O134" s="8"/>
      <c r="P134" s="8"/>
      <c r="Q134" s="8"/>
      <c r="R134" s="8"/>
      <c r="S134" s="8"/>
      <c r="T134" s="8"/>
      <c r="U134" s="9"/>
    </row>
    <row r="135" spans="9:21" ht="20.100000000000001" customHeight="1">
      <c r="I135" s="7"/>
      <c r="J135" s="95"/>
      <c r="K135" s="95"/>
      <c r="L135" s="95"/>
      <c r="M135" s="95"/>
      <c r="N135" s="95"/>
      <c r="O135" s="95"/>
      <c r="P135" s="95"/>
      <c r="Q135" s="95"/>
      <c r="R135" s="95"/>
      <c r="S135" s="95"/>
      <c r="T135" s="95"/>
      <c r="U135" s="9"/>
    </row>
    <row r="136" spans="9:21" ht="20.100000000000001" customHeight="1">
      <c r="I136" s="7"/>
      <c r="J136" s="8"/>
      <c r="K136" s="8"/>
      <c r="L136" s="8"/>
      <c r="M136" s="8"/>
      <c r="N136" s="8"/>
      <c r="O136" s="8"/>
      <c r="P136" s="8"/>
      <c r="Q136" s="8"/>
      <c r="R136" s="8"/>
      <c r="S136" s="8"/>
      <c r="T136" s="8"/>
      <c r="U136" s="9"/>
    </row>
    <row r="137" spans="9:21" ht="20.100000000000001" customHeight="1">
      <c r="I137" s="10"/>
      <c r="J137" s="11"/>
      <c r="K137" s="11"/>
      <c r="L137" s="11"/>
      <c r="M137" s="11"/>
      <c r="N137" s="11"/>
      <c r="O137" s="11"/>
      <c r="P137" s="11"/>
      <c r="Q137" s="11"/>
      <c r="R137" s="11"/>
      <c r="S137" s="11"/>
      <c r="T137" s="11"/>
      <c r="U137" s="12"/>
    </row>
    <row r="138" spans="9:21" ht="20.100000000000001" customHeight="1">
      <c r="I138" s="4"/>
      <c r="J138" s="5"/>
      <c r="K138" s="5"/>
      <c r="L138" s="5"/>
      <c r="M138" s="5"/>
      <c r="N138" s="5"/>
      <c r="O138" s="5"/>
      <c r="P138" s="5"/>
      <c r="Q138" s="5"/>
      <c r="R138" s="5"/>
      <c r="S138" s="5"/>
      <c r="T138" s="5"/>
      <c r="U138" s="6"/>
    </row>
    <row r="139" spans="9:21" ht="20.100000000000001" customHeight="1">
      <c r="I139" s="7"/>
      <c r="J139" s="8"/>
      <c r="K139" s="8"/>
      <c r="L139" s="8"/>
      <c r="M139" s="8"/>
      <c r="N139" s="8"/>
      <c r="O139" s="8"/>
      <c r="P139" s="8"/>
      <c r="Q139" s="8"/>
      <c r="R139" s="8"/>
      <c r="S139" s="8"/>
      <c r="T139" s="8"/>
      <c r="U139" s="9"/>
    </row>
    <row r="140" spans="9:21" ht="20.100000000000001" customHeight="1">
      <c r="I140" s="7"/>
      <c r="J140" s="8"/>
      <c r="K140" s="8"/>
      <c r="L140" s="8"/>
      <c r="M140" s="8"/>
      <c r="N140" s="8"/>
      <c r="O140" s="8"/>
      <c r="P140" s="8"/>
      <c r="Q140" s="8"/>
      <c r="R140" s="8"/>
      <c r="S140" s="8"/>
      <c r="T140" s="8"/>
      <c r="U140" s="9"/>
    </row>
    <row r="141" spans="9:21" ht="20.100000000000001" customHeight="1">
      <c r="I141" s="7"/>
      <c r="J141" s="19"/>
      <c r="K141" s="19"/>
      <c r="L141" s="19"/>
      <c r="M141" s="19"/>
      <c r="N141" s="19"/>
      <c r="O141" s="19"/>
      <c r="P141" s="19"/>
      <c r="Q141" s="19"/>
      <c r="R141" s="19"/>
      <c r="S141" s="19"/>
      <c r="T141" s="19"/>
      <c r="U141" s="9"/>
    </row>
    <row r="142" spans="9:21" ht="20.100000000000001" customHeight="1">
      <c r="I142" s="7"/>
      <c r="J142" s="19"/>
      <c r="K142" s="19"/>
      <c r="L142" s="19"/>
      <c r="M142" s="19"/>
      <c r="N142" s="19"/>
      <c r="O142" s="19"/>
      <c r="P142" s="19"/>
      <c r="Q142" s="19"/>
      <c r="R142" s="19"/>
      <c r="S142" s="19"/>
      <c r="T142" s="19"/>
      <c r="U142" s="9"/>
    </row>
    <row r="143" spans="9:21" ht="20.100000000000001" customHeight="1">
      <c r="I143" s="7"/>
      <c r="J143" s="19"/>
      <c r="K143" s="19"/>
      <c r="L143" s="19"/>
      <c r="M143" s="19"/>
      <c r="N143" s="19"/>
      <c r="O143" s="19"/>
      <c r="P143" s="19"/>
      <c r="Q143" s="19"/>
      <c r="R143" s="19"/>
      <c r="S143" s="19"/>
      <c r="T143" s="19"/>
      <c r="U143" s="9"/>
    </row>
    <row r="144" spans="9:21" ht="20.100000000000001" customHeight="1">
      <c r="I144" s="7"/>
      <c r="J144" s="19"/>
      <c r="K144" s="19"/>
      <c r="L144" s="19"/>
      <c r="M144" s="19"/>
      <c r="N144" s="19"/>
      <c r="O144" s="19"/>
      <c r="P144" s="19"/>
      <c r="Q144" s="19"/>
      <c r="R144" s="19"/>
      <c r="S144" s="19"/>
      <c r="T144" s="19"/>
      <c r="U144" s="9"/>
    </row>
    <row r="145" spans="9:21" ht="20.100000000000001" customHeight="1">
      <c r="I145" s="7"/>
      <c r="J145" s="19"/>
      <c r="K145" s="19"/>
      <c r="L145" s="19"/>
      <c r="M145" s="19"/>
      <c r="N145" s="19"/>
      <c r="O145" s="19"/>
      <c r="P145" s="19"/>
      <c r="Q145" s="19"/>
      <c r="R145" s="19"/>
      <c r="S145" s="19"/>
      <c r="T145" s="19"/>
      <c r="U145" s="9"/>
    </row>
    <row r="146" spans="9:21" ht="14.45" customHeight="1">
      <c r="I146" s="7"/>
      <c r="J146" s="19"/>
      <c r="K146" s="19"/>
      <c r="L146" s="19"/>
      <c r="M146" s="19"/>
      <c r="N146" s="19"/>
      <c r="O146" s="19"/>
      <c r="P146" s="19"/>
      <c r="Q146" s="19"/>
      <c r="R146" s="19"/>
      <c r="S146" s="19"/>
      <c r="T146" s="19"/>
      <c r="U146" s="9"/>
    </row>
    <row r="147" spans="9:21" ht="14.45" customHeight="1">
      <c r="I147" s="17">
        <v>7.0000000000000007E-2</v>
      </c>
      <c r="J147" s="19"/>
      <c r="K147" s="19"/>
      <c r="L147" s="19"/>
      <c r="M147" s="19"/>
      <c r="N147" s="19"/>
      <c r="O147" s="19"/>
      <c r="P147" s="19"/>
      <c r="Q147" s="19"/>
      <c r="R147" s="19"/>
      <c r="S147" s="19"/>
      <c r="T147" s="19"/>
      <c r="U147" s="9"/>
    </row>
    <row r="148" spans="9:21" ht="14.45" customHeight="1">
      <c r="I148" s="7"/>
      <c r="J148" s="19"/>
      <c r="K148" s="19"/>
      <c r="L148" s="19"/>
      <c r="M148" s="19"/>
      <c r="N148" s="19"/>
      <c r="O148" s="19"/>
      <c r="P148" s="19"/>
      <c r="Q148" s="19"/>
      <c r="R148" s="19"/>
      <c r="S148" s="19"/>
      <c r="T148" s="19"/>
      <c r="U148" s="9"/>
    </row>
    <row r="149" spans="9:21" ht="14.45" customHeight="1">
      <c r="I149" s="7"/>
      <c r="J149" s="19"/>
      <c r="K149" s="19"/>
      <c r="L149" s="19"/>
      <c r="M149" s="19"/>
      <c r="N149" s="19"/>
      <c r="O149" s="19"/>
      <c r="P149" s="19"/>
      <c r="Q149" s="19"/>
      <c r="R149" s="19"/>
      <c r="S149" s="19"/>
      <c r="T149" s="19"/>
      <c r="U149" s="9"/>
    </row>
    <row r="150" spans="9:21" ht="14.45" customHeight="1">
      <c r="I150" s="7"/>
      <c r="J150" s="8"/>
      <c r="K150" s="8"/>
      <c r="L150" s="8"/>
      <c r="M150" s="8"/>
      <c r="N150" s="8"/>
      <c r="O150" s="8"/>
      <c r="P150" s="8"/>
      <c r="Q150" s="8"/>
      <c r="R150" s="8"/>
      <c r="S150" s="8"/>
      <c r="T150" s="8"/>
      <c r="U150" s="9"/>
    </row>
    <row r="151" spans="9:21" ht="14.45" customHeight="1">
      <c r="I151" s="10"/>
      <c r="J151" s="11"/>
      <c r="K151" s="11"/>
      <c r="L151" s="11"/>
      <c r="M151" s="11"/>
      <c r="N151" s="11"/>
      <c r="O151" s="11"/>
      <c r="P151" s="11"/>
      <c r="Q151" s="11"/>
      <c r="R151" s="11"/>
      <c r="S151" s="11"/>
      <c r="T151" s="11"/>
      <c r="U151" s="12"/>
    </row>
  </sheetData>
  <mergeCells count="26">
    <mergeCell ref="C15:M17"/>
    <mergeCell ref="P15:Z17"/>
    <mergeCell ref="C18:E20"/>
    <mergeCell ref="P18:R20"/>
    <mergeCell ref="C23:M23"/>
    <mergeCell ref="P23:Z23"/>
    <mergeCell ref="C43:M45"/>
    <mergeCell ref="P43:Z45"/>
    <mergeCell ref="C46:M48"/>
    <mergeCell ref="P46:Z48"/>
    <mergeCell ref="C51:M51"/>
    <mergeCell ref="P51:Z51"/>
    <mergeCell ref="C71:M73"/>
    <mergeCell ref="P71:Z73"/>
    <mergeCell ref="C74:E76"/>
    <mergeCell ref="P74:R76"/>
    <mergeCell ref="C79:M79"/>
    <mergeCell ref="P79:Z79"/>
    <mergeCell ref="J130:T132"/>
    <mergeCell ref="J135:T135"/>
    <mergeCell ref="C99:M101"/>
    <mergeCell ref="P99:Z101"/>
    <mergeCell ref="C102:M104"/>
    <mergeCell ref="P102:Z104"/>
    <mergeCell ref="C107:M107"/>
    <mergeCell ref="P107:Z107"/>
  </mergeCells>
  <conditionalFormatting sqref="C23">
    <cfRule type="expression" dxfId="31" priority="51">
      <formula>$C$18&lt;0</formula>
    </cfRule>
    <cfRule type="expression" dxfId="30" priority="50">
      <formula>$C$18=0</formula>
    </cfRule>
    <cfRule type="expression" dxfId="29" priority="49">
      <formula>$C$18&gt;0</formula>
    </cfRule>
  </conditionalFormatting>
  <conditionalFormatting sqref="C51">
    <cfRule type="expression" dxfId="28" priority="1">
      <formula>$C$46&gt;0</formula>
    </cfRule>
    <cfRule type="expression" dxfId="27" priority="2">
      <formula>$C$46=0</formula>
    </cfRule>
    <cfRule type="expression" dxfId="26" priority="3">
      <formula>$C$46&lt;0</formula>
    </cfRule>
  </conditionalFormatting>
  <conditionalFormatting sqref="C79">
    <cfRule type="expression" dxfId="25" priority="20">
      <formula>0.15&lt;=$C$74</formula>
    </cfRule>
    <cfRule type="expression" dxfId="24" priority="23">
      <formula>$C$74&lt;0.05</formula>
    </cfRule>
    <cfRule type="expression" dxfId="23" priority="22">
      <formula>AND(0.05&lt;=$C$74,$C$74&lt;0.1)</formula>
    </cfRule>
    <cfRule type="expression" dxfId="22" priority="21">
      <formula>AND(0.1&lt;=$C$74,$C$74&lt;0.15)</formula>
    </cfRule>
  </conditionalFormatting>
  <conditionalFormatting sqref="C107">
    <cfRule type="expression" dxfId="21" priority="12">
      <formula>0.15&lt;=$C$102</formula>
    </cfRule>
    <cfRule type="expression" dxfId="20" priority="13">
      <formula>AND(0.1&lt;=$C$102,$C$102&lt;0.15)</formula>
    </cfRule>
    <cfRule type="expression" dxfId="19" priority="14">
      <formula>AND(0.05&lt;=$C$102,$C$102&lt;0.1)</formula>
    </cfRule>
    <cfRule type="expression" dxfId="18" priority="15">
      <formula>$C$102&lt;0.05</formula>
    </cfRule>
  </conditionalFormatting>
  <conditionalFormatting sqref="J135">
    <cfRule type="expression" dxfId="17" priority="5">
      <formula>AND(1&lt;=$J$130,$J$130&lt;2)</formula>
    </cfRule>
    <cfRule type="expression" dxfId="16" priority="4">
      <formula>1&gt;=$J$130</formula>
    </cfRule>
    <cfRule type="expression" dxfId="15" priority="7">
      <formula>$J$130&gt;3</formula>
    </cfRule>
    <cfRule type="expression" dxfId="14" priority="6">
      <formula>AND(2&lt;=$J$130,$J$130&lt;3)</formula>
    </cfRule>
  </conditionalFormatting>
  <conditionalFormatting sqref="P23">
    <cfRule type="expression" dxfId="13" priority="45">
      <formula>$P$18&lt;0</formula>
    </cfRule>
    <cfRule type="expression" dxfId="12" priority="46">
      <formula>$P$18=0</formula>
    </cfRule>
    <cfRule type="expression" dxfId="11" priority="47">
      <formula>$P$18&gt;0</formula>
    </cfRule>
  </conditionalFormatting>
  <conditionalFormatting sqref="P51">
    <cfRule type="expression" dxfId="10" priority="36">
      <formula>0.15&lt;=$P$46</formula>
    </cfRule>
    <cfRule type="expression" dxfId="9" priority="37">
      <formula>AND(0.1&lt;=$P$46,$P$46&lt;0.15)</formula>
    </cfRule>
    <cfRule type="expression" dxfId="8" priority="38">
      <formula>AND(0.05&lt;=$P$46,$P$46&lt;0.1)</formula>
    </cfRule>
    <cfRule type="expression" dxfId="7" priority="39">
      <formula>$P$46&lt;0.05</formula>
    </cfRule>
  </conditionalFormatting>
  <conditionalFormatting sqref="P79">
    <cfRule type="expression" dxfId="6" priority="17">
      <formula>AND(0.1&lt;=$P$74,$P$74&lt;0.15)</formula>
    </cfRule>
    <cfRule type="expression" dxfId="5" priority="19">
      <formula>$P$74&lt;0.05</formula>
    </cfRule>
    <cfRule type="expression" dxfId="4" priority="16">
      <formula>0.15&lt;=$P$74</formula>
    </cfRule>
    <cfRule type="expression" dxfId="3" priority="18">
      <formula>AND(0.05&lt;=$P$74,$P$74&lt;0.1)</formula>
    </cfRule>
  </conditionalFormatting>
  <conditionalFormatting sqref="P107">
    <cfRule type="expression" dxfId="2" priority="11">
      <formula>$P$102&lt;3</formula>
    </cfRule>
    <cfRule type="expression" dxfId="1" priority="10">
      <formula>AND(3&lt;=$P$102,$P$102&lt;5)</formula>
    </cfRule>
    <cfRule type="expression" dxfId="0" priority="9">
      <formula>$P$102&gt;5</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A30B-D4BF-4DCC-9DD7-429AB23C0B93}">
  <dimension ref="A4:AO108"/>
  <sheetViews>
    <sheetView showGridLines="0" topLeftCell="A41" zoomScale="50" zoomScaleNormal="110" workbookViewId="0">
      <selection activeCell="E67" sqref="E67"/>
    </sheetView>
  </sheetViews>
  <sheetFormatPr defaultColWidth="8.85546875" defaultRowHeight="15"/>
  <cols>
    <col min="1" max="1" width="40.42578125" bestFit="1" customWidth="1"/>
    <col min="2" max="3" width="15.7109375" bestFit="1" customWidth="1"/>
    <col min="4" max="4" width="15.7109375" customWidth="1"/>
    <col min="5" max="5" width="15.7109375" bestFit="1" customWidth="1"/>
    <col min="6" max="6" width="15.7109375" customWidth="1"/>
    <col min="7" max="7" width="15.7109375" bestFit="1" customWidth="1"/>
    <col min="8" max="8" width="15.7109375" customWidth="1"/>
    <col min="9" max="9" width="15.7109375" bestFit="1" customWidth="1"/>
    <col min="10" max="10" width="15.7109375" customWidth="1"/>
    <col min="11" max="11" width="10.7109375" bestFit="1" customWidth="1"/>
    <col min="12" max="13" width="11.140625" bestFit="1" customWidth="1"/>
    <col min="16" max="16" width="7.7109375" customWidth="1"/>
    <col min="17" max="17" width="45.28515625" bestFit="1" customWidth="1"/>
    <col min="18" max="18" width="13.7109375" bestFit="1" customWidth="1"/>
    <col min="19" max="19" width="13.7109375" customWidth="1"/>
    <col min="20" max="20" width="13.7109375" bestFit="1" customWidth="1"/>
    <col min="21" max="22" width="13.7109375" customWidth="1"/>
    <col min="23" max="23" width="13.7109375" bestFit="1" customWidth="1"/>
    <col min="24" max="25" width="13.7109375" customWidth="1"/>
    <col min="26" max="26" width="13.7109375" bestFit="1" customWidth="1"/>
    <col min="27" max="28" width="13.7109375" customWidth="1"/>
    <col min="29" max="29" width="13.7109375" bestFit="1" customWidth="1"/>
    <col min="30" max="30" width="13.85546875" bestFit="1" customWidth="1"/>
    <col min="31" max="31" width="21.42578125" customWidth="1"/>
  </cols>
  <sheetData>
    <row r="4" spans="1:31" ht="15.95" thickBot="1"/>
    <row r="5" spans="1:31">
      <c r="A5" s="20" t="s">
        <v>60</v>
      </c>
      <c r="B5" s="21">
        <v>2021</v>
      </c>
      <c r="C5" s="22">
        <v>2022</v>
      </c>
      <c r="D5" s="83" t="s">
        <v>61</v>
      </c>
      <c r="E5" s="23">
        <v>2023</v>
      </c>
      <c r="F5" s="23" t="s">
        <v>61</v>
      </c>
      <c r="G5" s="23">
        <v>2024</v>
      </c>
      <c r="H5" s="23" t="s">
        <v>61</v>
      </c>
      <c r="I5" s="23">
        <v>2025</v>
      </c>
      <c r="J5" s="84" t="s">
        <v>61</v>
      </c>
      <c r="K5" s="128" t="s">
        <v>62</v>
      </c>
      <c r="L5" s="129"/>
      <c r="M5" s="129"/>
      <c r="N5" s="129"/>
      <c r="O5" s="129"/>
      <c r="P5" s="130"/>
      <c r="Q5" s="119" t="s">
        <v>63</v>
      </c>
      <c r="R5" s="114">
        <v>2021</v>
      </c>
      <c r="S5" s="114" t="s">
        <v>64</v>
      </c>
      <c r="T5" s="114">
        <v>2022</v>
      </c>
      <c r="U5" s="114" t="s">
        <v>64</v>
      </c>
      <c r="V5" s="114" t="s">
        <v>61</v>
      </c>
      <c r="W5" s="114">
        <v>2023</v>
      </c>
      <c r="X5" s="114" t="s">
        <v>64</v>
      </c>
      <c r="Y5" s="114" t="s">
        <v>61</v>
      </c>
      <c r="Z5" s="114">
        <v>2024</v>
      </c>
      <c r="AA5" s="114" t="s">
        <v>64</v>
      </c>
      <c r="AB5" s="114" t="s">
        <v>61</v>
      </c>
      <c r="AC5" s="114">
        <v>2025</v>
      </c>
      <c r="AD5" s="114" t="s">
        <v>64</v>
      </c>
      <c r="AE5" s="114" t="s">
        <v>61</v>
      </c>
    </row>
    <row r="6" spans="1:31" ht="15.95" thickBot="1">
      <c r="A6" s="121" t="s">
        <v>65</v>
      </c>
      <c r="B6" s="122"/>
      <c r="C6" s="122"/>
      <c r="D6" s="122"/>
      <c r="E6" s="122"/>
      <c r="F6" s="122"/>
      <c r="G6" s="122"/>
      <c r="H6" s="122"/>
      <c r="I6" s="122"/>
      <c r="J6" s="122"/>
      <c r="K6" s="122"/>
      <c r="L6" s="122"/>
      <c r="M6" s="122"/>
      <c r="N6" s="122"/>
      <c r="O6" s="122"/>
      <c r="P6" s="123"/>
      <c r="Q6" s="120"/>
      <c r="R6" s="115"/>
      <c r="S6" s="115"/>
      <c r="T6" s="115"/>
      <c r="U6" s="115"/>
      <c r="V6" s="115"/>
      <c r="W6" s="115"/>
      <c r="X6" s="115"/>
      <c r="Y6" s="115"/>
      <c r="Z6" s="115"/>
      <c r="AA6" s="115"/>
      <c r="AB6" s="115"/>
      <c r="AC6" s="115"/>
      <c r="AD6" s="115"/>
      <c r="AE6" s="115"/>
    </row>
    <row r="7" spans="1:31">
      <c r="A7" s="24" t="s">
        <v>66</v>
      </c>
      <c r="B7" s="25">
        <f>R52/R21</f>
        <v>0.27000127599846879</v>
      </c>
      <c r="C7" s="25">
        <f>S52/T21</f>
        <v>0.11437114558026537</v>
      </c>
      <c r="D7" s="25">
        <f>C7/B7-1</f>
        <v>-0.57640516639293971</v>
      </c>
      <c r="E7" s="25">
        <f>U52/W21</f>
        <v>-1.5228426395939087E-2</v>
      </c>
      <c r="F7" s="25">
        <f>E7/C7-1</f>
        <v>-1.1331491987658007</v>
      </c>
      <c r="G7" s="25">
        <f>W52/Z21</f>
        <v>0.1301976823449216</v>
      </c>
      <c r="H7" s="25">
        <f>G7/E7-1</f>
        <v>-9.5496478073165179</v>
      </c>
      <c r="I7" s="25">
        <f>Y52/AC21</f>
        <v>0.23199445983379502</v>
      </c>
      <c r="J7" s="25">
        <f>I7/G7-1</f>
        <v>0.78186320720511682</v>
      </c>
      <c r="K7" s="1" t="s">
        <v>67</v>
      </c>
      <c r="L7" s="3" t="s">
        <v>68</v>
      </c>
      <c r="M7" s="26" t="s">
        <v>69</v>
      </c>
      <c r="N7" s="124" t="s">
        <v>70</v>
      </c>
      <c r="O7" s="124"/>
      <c r="P7" s="125"/>
      <c r="Q7" s="27" t="s">
        <v>71</v>
      </c>
      <c r="R7" s="76">
        <v>1581000</v>
      </c>
      <c r="S7" s="75">
        <f t="shared" ref="S7:S30" si="0">IFERROR(R7/$R$30,"N/A")</f>
        <v>7.1418891448705793E-2</v>
      </c>
      <c r="T7" s="76">
        <v>1689000</v>
      </c>
      <c r="U7" s="75">
        <f t="shared" ref="U7:U30" si="1">IFERROR(T7/$T$16, "N/A")</f>
        <v>8.3222468588322246E-2</v>
      </c>
      <c r="V7" s="75">
        <f t="shared" ref="V7:V30" si="2">IFERROR(T7/R7-1,"N/A")</f>
        <v>6.8311195445920347E-2</v>
      </c>
      <c r="W7" s="76">
        <v>1680000</v>
      </c>
      <c r="X7" s="75">
        <f t="shared" ref="X7:X30" si="3">IFERROR(W7/$W$30,"N/A")</f>
        <v>9.3229744728079905E-2</v>
      </c>
      <c r="Y7" s="75">
        <f t="shared" ref="Y7:Y30" si="4">IFERROR(W7/T7-1,"N/A")</f>
        <v>-5.3285968028419228E-3</v>
      </c>
      <c r="Z7" s="51">
        <v>1701000</v>
      </c>
      <c r="AA7" s="75">
        <f t="shared" ref="AA7:AA30" si="5">IFERROR(Z7/$Z$16,"N/A")</f>
        <v>8.2352941176470587E-2</v>
      </c>
      <c r="AB7" s="75">
        <f t="shared" ref="AB7:AB30" si="6">IFERROR(Z7/W7-1,"N/A")</f>
        <v>1.2499999999999956E-2</v>
      </c>
      <c r="AC7" s="51">
        <v>1646000</v>
      </c>
      <c r="AD7" s="75">
        <f t="shared" ref="AD7:AD30" si="7">IFERROR(AC7/$AC$16,"N/A")</f>
        <v>8.1235810877504686E-2</v>
      </c>
      <c r="AE7" s="75">
        <f t="shared" ref="AE7:AE30" si="8">IFERROR(AC7/Z7-1,"N/A")</f>
        <v>-3.2333921222810091E-2</v>
      </c>
    </row>
    <row r="8" spans="1:31">
      <c r="A8" s="24" t="s">
        <v>30</v>
      </c>
      <c r="B8" s="25">
        <f>R52/R34</f>
        <v>9.9651502307619849E-2</v>
      </c>
      <c r="C8" s="25">
        <f>S52/S34</f>
        <v>2.7186708720181245E-2</v>
      </c>
      <c r="D8" s="25">
        <f>C8/B8-1</f>
        <v>-0.72718214888264243</v>
      </c>
      <c r="E8" s="25">
        <f>U52/U34</f>
        <v>-3.5002566854902693E-3</v>
      </c>
      <c r="F8" s="25">
        <f>E8/C8-1</f>
        <v>-1.1287488206651495</v>
      </c>
      <c r="G8" s="25">
        <f>W52/W34</f>
        <v>3.2259426592914746E-2</v>
      </c>
      <c r="H8" s="25">
        <f>G8/E8-1</f>
        <v>-10.21630311475179</v>
      </c>
      <c r="I8" s="25">
        <f>Y52/Y34</f>
        <v>5.4008302768933134E-2</v>
      </c>
      <c r="J8" s="25">
        <f>I8/G8-1</f>
        <v>0.67418669434115652</v>
      </c>
      <c r="K8" s="1" t="s">
        <v>67</v>
      </c>
      <c r="L8" s="3" t="s">
        <v>68</v>
      </c>
      <c r="M8" s="26" t="s">
        <v>69</v>
      </c>
      <c r="N8" s="124" t="s">
        <v>72</v>
      </c>
      <c r="O8" s="124"/>
      <c r="P8" s="125"/>
      <c r="Q8" s="27" t="s">
        <v>73</v>
      </c>
      <c r="R8" s="76">
        <v>4825000</v>
      </c>
      <c r="S8" s="75">
        <f t="shared" si="0"/>
        <v>0.21796087997470298</v>
      </c>
      <c r="T8" s="76">
        <v>4943000</v>
      </c>
      <c r="U8" s="75">
        <f t="shared" si="1"/>
        <v>0.24355752648435575</v>
      </c>
      <c r="V8" s="75">
        <f t="shared" si="2"/>
        <v>2.4455958549222778E-2</v>
      </c>
      <c r="W8" s="76">
        <v>4405000</v>
      </c>
      <c r="X8" s="75">
        <f t="shared" si="3"/>
        <v>0.24445061043285238</v>
      </c>
      <c r="Y8" s="75">
        <f t="shared" si="4"/>
        <v>-0.10884078494841187</v>
      </c>
      <c r="Z8" s="51">
        <v>4912000</v>
      </c>
      <c r="AA8" s="75">
        <f t="shared" si="5"/>
        <v>0.23781166787702734</v>
      </c>
      <c r="AB8" s="75">
        <f t="shared" si="6"/>
        <v>0.11509648127128269</v>
      </c>
      <c r="AC8" s="51">
        <v>4578000</v>
      </c>
      <c r="AD8" s="75">
        <f t="shared" si="7"/>
        <v>0.22594018359490672</v>
      </c>
      <c r="AE8" s="75">
        <f t="shared" si="8"/>
        <v>-6.7996742671009747E-2</v>
      </c>
    </row>
    <row r="9" spans="1:31">
      <c r="A9" s="24" t="s">
        <v>74</v>
      </c>
      <c r="B9" s="28">
        <f>R34/R16</f>
        <v>0.95920856484618511</v>
      </c>
      <c r="C9" s="28">
        <f>S34/T16</f>
        <v>1.109189455530919</v>
      </c>
      <c r="D9" s="25">
        <f>C9/B9-1</f>
        <v>0.15635899863840796</v>
      </c>
      <c r="E9" s="28">
        <f>U34/W16</f>
        <v>1.1890677025527192</v>
      </c>
      <c r="F9" s="25">
        <f>E9/C9-1</f>
        <v>7.2014971494266611E-2</v>
      </c>
      <c r="G9" s="28">
        <f>W34/Z16</f>
        <v>1.1465988864681675</v>
      </c>
      <c r="H9" s="25">
        <f>G9/E9-1</f>
        <v>-3.5716062250600644E-2</v>
      </c>
      <c r="I9" s="28">
        <f>Y34/AC16</f>
        <v>1.2245089329779884</v>
      </c>
      <c r="J9" s="25">
        <f>I9/G9-1</f>
        <v>6.7948824501133709E-2</v>
      </c>
      <c r="K9" s="1" t="s">
        <v>75</v>
      </c>
      <c r="L9" s="3" t="s">
        <v>76</v>
      </c>
      <c r="M9" s="26" t="s">
        <v>77</v>
      </c>
      <c r="N9" s="126" t="s">
        <v>78</v>
      </c>
      <c r="O9" s="126"/>
      <c r="P9" s="127"/>
      <c r="Q9" s="27" t="s">
        <v>79</v>
      </c>
      <c r="R9" s="76">
        <v>1787000</v>
      </c>
      <c r="S9" s="75">
        <f t="shared" si="0"/>
        <v>8.072457875954285E-2</v>
      </c>
      <c r="T9" s="76">
        <v>1931000</v>
      </c>
      <c r="U9" s="75">
        <f t="shared" si="1"/>
        <v>9.5146587829514656E-2</v>
      </c>
      <c r="V9" s="75">
        <f t="shared" si="2"/>
        <v>8.0581980973698952E-2</v>
      </c>
      <c r="W9" s="76">
        <v>2126000</v>
      </c>
      <c r="X9" s="75">
        <f t="shared" si="3"/>
        <v>0.11798002219755827</v>
      </c>
      <c r="Y9" s="75">
        <f t="shared" si="4"/>
        <v>0.10098394614189532</v>
      </c>
      <c r="Z9" s="51">
        <v>2138000</v>
      </c>
      <c r="AA9" s="75">
        <f t="shared" si="5"/>
        <v>0.10351004599370613</v>
      </c>
      <c r="AB9" s="75">
        <f t="shared" si="6"/>
        <v>5.6444026340545239E-3</v>
      </c>
      <c r="AC9" s="51">
        <v>2062000</v>
      </c>
      <c r="AD9" s="75">
        <f t="shared" si="7"/>
        <v>0.10176685420985095</v>
      </c>
      <c r="AE9" s="75">
        <f t="shared" si="8"/>
        <v>-3.5547240411599623E-2</v>
      </c>
    </row>
    <row r="10" spans="1:31">
      <c r="A10" s="29" t="s">
        <v>80</v>
      </c>
      <c r="B10" s="28">
        <f>R16/R21</f>
        <v>2.8246778103866275</v>
      </c>
      <c r="C10" s="28">
        <f>T16/T21</f>
        <v>3.7927490188749768</v>
      </c>
      <c r="D10" s="28"/>
      <c r="E10" s="28">
        <f>W16/W21</f>
        <v>3.6588832487309646</v>
      </c>
      <c r="F10" s="25">
        <f>E10/C10-1</f>
        <v>-3.5295182854920393E-2</v>
      </c>
      <c r="G10" s="28">
        <f>Z16/Z21</f>
        <v>3.5199386503067487</v>
      </c>
      <c r="H10" s="25">
        <f>G10/E10-1</f>
        <v>-3.7974591966662752E-2</v>
      </c>
      <c r="I10" s="28">
        <f>AC16/AC21</f>
        <v>3.5079639889196677</v>
      </c>
      <c r="J10" s="25">
        <f>I10/G10-1</f>
        <v>-3.4019517317546155E-3</v>
      </c>
      <c r="K10" s="1" t="s">
        <v>81</v>
      </c>
      <c r="L10" s="3" t="s">
        <v>82</v>
      </c>
      <c r="M10" s="26" t="s">
        <v>83</v>
      </c>
      <c r="N10" s="126" t="s">
        <v>84</v>
      </c>
      <c r="O10" s="126"/>
      <c r="P10" s="127"/>
      <c r="Q10" s="30" t="s">
        <v>85</v>
      </c>
      <c r="R10" s="81">
        <v>8193000</v>
      </c>
      <c r="S10" s="75">
        <f t="shared" si="0"/>
        <v>0.37010435018295162</v>
      </c>
      <c r="T10" s="81">
        <v>8563000</v>
      </c>
      <c r="U10" s="75">
        <f t="shared" si="1"/>
        <v>0.42192658290219265</v>
      </c>
      <c r="V10" s="75">
        <f t="shared" si="2"/>
        <v>4.5160502868302199E-2</v>
      </c>
      <c r="W10" s="81">
        <v>8211000</v>
      </c>
      <c r="X10" s="75">
        <f t="shared" si="3"/>
        <v>0.45566037735849058</v>
      </c>
      <c r="Y10" s="75">
        <f t="shared" si="4"/>
        <v>-4.1107088637159839E-2</v>
      </c>
      <c r="Z10" s="52">
        <v>8751000</v>
      </c>
      <c r="AA10" s="75">
        <f t="shared" si="5"/>
        <v>0.42367465504720409</v>
      </c>
      <c r="AB10" s="75">
        <f t="shared" si="6"/>
        <v>6.5765436609426464E-2</v>
      </c>
      <c r="AC10" s="52">
        <f>AC7+AC8+AC9</f>
        <v>8286000</v>
      </c>
      <c r="AD10" s="75">
        <f t="shared" si="7"/>
        <v>0.40894284868226238</v>
      </c>
      <c r="AE10" s="75">
        <f t="shared" si="8"/>
        <v>-5.3136784367500911E-2</v>
      </c>
    </row>
    <row r="11" spans="1:31">
      <c r="A11" s="121" t="s">
        <v>86</v>
      </c>
      <c r="B11" s="122"/>
      <c r="C11" s="122"/>
      <c r="D11" s="122"/>
      <c r="E11" s="122"/>
      <c r="F11" s="122"/>
      <c r="G11" s="122"/>
      <c r="H11" s="122"/>
      <c r="I11" s="122"/>
      <c r="J11" s="122"/>
      <c r="K11" s="122"/>
      <c r="L11" s="122"/>
      <c r="M11" s="122"/>
      <c r="N11" s="122"/>
      <c r="O11" s="122"/>
      <c r="P11" s="123"/>
      <c r="Q11" s="27" t="s">
        <v>87</v>
      </c>
      <c r="R11" s="76">
        <v>4009000</v>
      </c>
      <c r="S11" s="75">
        <f t="shared" si="0"/>
        <v>0.18109951664633872</v>
      </c>
      <c r="T11" s="76">
        <v>5973000</v>
      </c>
      <c r="U11" s="75">
        <f t="shared" si="1"/>
        <v>0.2943089430894309</v>
      </c>
      <c r="V11" s="75">
        <f t="shared" si="2"/>
        <v>0.48989773010725868</v>
      </c>
      <c r="W11" s="76">
        <v>4525000</v>
      </c>
      <c r="X11" s="75">
        <f t="shared" si="3"/>
        <v>0.25110987791342954</v>
      </c>
      <c r="Y11" s="75">
        <f t="shared" si="4"/>
        <v>-0.24242424242424243</v>
      </c>
      <c r="Z11" s="51">
        <v>4989000</v>
      </c>
      <c r="AA11" s="75">
        <f t="shared" si="5"/>
        <v>0.24153957879448076</v>
      </c>
      <c r="AB11" s="75">
        <f t="shared" si="6"/>
        <v>0.10254143646408842</v>
      </c>
      <c r="AC11" s="51">
        <v>5832000</v>
      </c>
      <c r="AD11" s="75">
        <f t="shared" si="7"/>
        <v>0.28782943440923897</v>
      </c>
      <c r="AE11" s="75">
        <f t="shared" si="8"/>
        <v>0.16897173782321095</v>
      </c>
    </row>
    <row r="12" spans="1:31">
      <c r="A12" s="24" t="s">
        <v>88</v>
      </c>
      <c r="B12" s="25">
        <f>B8*B9*B10</f>
        <v>0.27000127599846874</v>
      </c>
      <c r="C12" s="25">
        <f>C8*C9*C10</f>
        <v>0.11437114558026537</v>
      </c>
      <c r="D12" s="25">
        <f>C12/B12-1</f>
        <v>-0.57640516639293948</v>
      </c>
      <c r="E12" s="25">
        <f>E8*E9*E10</f>
        <v>-1.5228426395939089E-2</v>
      </c>
      <c r="F12" s="25">
        <f>E12/C12-1</f>
        <v>-1.1331491987658007</v>
      </c>
      <c r="G12" s="25">
        <f>G8*G9*G10</f>
        <v>0.1301976823449216</v>
      </c>
      <c r="H12" s="25">
        <f>G12/E12-1</f>
        <v>-9.5496478073165179</v>
      </c>
      <c r="I12" s="25">
        <f>I8*I9*I10</f>
        <v>0.23199445983379502</v>
      </c>
      <c r="J12" s="25">
        <f>I12/G12-1</f>
        <v>0.78186320720511682</v>
      </c>
      <c r="K12" s="1" t="s">
        <v>67</v>
      </c>
      <c r="L12" s="3" t="s">
        <v>68</v>
      </c>
      <c r="M12" s="26" t="s">
        <v>69</v>
      </c>
      <c r="N12" s="124" t="s">
        <v>70</v>
      </c>
      <c r="O12" s="124"/>
      <c r="P12" s="125"/>
      <c r="Q12" s="27" t="s">
        <v>89</v>
      </c>
      <c r="R12" s="76">
        <v>3015000</v>
      </c>
      <c r="S12" s="75">
        <f t="shared" si="0"/>
        <v>0.13619731670958124</v>
      </c>
      <c r="T12" s="76">
        <v>1862000</v>
      </c>
      <c r="U12" s="75">
        <f t="shared" si="1"/>
        <v>9.1746735649174668E-2</v>
      </c>
      <c r="V12" s="75">
        <f t="shared" si="2"/>
        <v>-0.38242122719734661</v>
      </c>
      <c r="W12" s="76">
        <v>2903000</v>
      </c>
      <c r="X12" s="75">
        <f t="shared" si="3"/>
        <v>0.16109877913429524</v>
      </c>
      <c r="Y12" s="75">
        <f t="shared" si="4"/>
        <v>0.55907626208378081</v>
      </c>
      <c r="Z12" s="51">
        <v>3145000</v>
      </c>
      <c r="AA12" s="75">
        <f t="shared" si="5"/>
        <v>0.15226337448559671</v>
      </c>
      <c r="AB12" s="75">
        <f t="shared" si="6"/>
        <v>8.3362039269720967E-2</v>
      </c>
      <c r="AC12" s="51">
        <v>2634000</v>
      </c>
      <c r="AD12" s="75">
        <f t="shared" si="7"/>
        <v>0.12999703879182706</v>
      </c>
      <c r="AE12" s="75">
        <f t="shared" si="8"/>
        <v>-0.16248012718600957</v>
      </c>
    </row>
    <row r="13" spans="1:31">
      <c r="A13" s="121" t="s">
        <v>90</v>
      </c>
      <c r="B13" s="122"/>
      <c r="C13" s="122"/>
      <c r="D13" s="122"/>
      <c r="E13" s="122"/>
      <c r="F13" s="122"/>
      <c r="G13" s="122"/>
      <c r="H13" s="122"/>
      <c r="I13" s="122"/>
      <c r="J13" s="122"/>
      <c r="K13" s="122"/>
      <c r="L13" s="122"/>
      <c r="M13" s="122"/>
      <c r="N13" s="122"/>
      <c r="O13" s="122"/>
      <c r="P13" s="123"/>
      <c r="Q13" s="27" t="s">
        <v>91</v>
      </c>
      <c r="R13" s="76">
        <v>3092000</v>
      </c>
      <c r="S13" s="75">
        <f t="shared" si="0"/>
        <v>0.1396756561413019</v>
      </c>
      <c r="T13" s="76">
        <v>3099000</v>
      </c>
      <c r="U13" s="75">
        <f t="shared" si="1"/>
        <v>0.15269770879526978</v>
      </c>
      <c r="V13" s="75">
        <f t="shared" si="2"/>
        <v>2.2639068564036524E-3</v>
      </c>
      <c r="W13" s="76">
        <v>1161000</v>
      </c>
      <c r="X13" s="75">
        <f t="shared" si="3"/>
        <v>6.4428412874583799E-2</v>
      </c>
      <c r="Y13" s="75">
        <f t="shared" si="4"/>
        <v>-0.62536302032913849</v>
      </c>
      <c r="Z13" s="51">
        <v>1640000</v>
      </c>
      <c r="AA13" s="75">
        <f t="shared" si="5"/>
        <v>7.9399661099007507E-2</v>
      </c>
      <c r="AB13" s="75">
        <f t="shared" si="6"/>
        <v>0.41257536606373812</v>
      </c>
      <c r="AC13" s="51">
        <v>1893000</v>
      </c>
      <c r="AD13" s="75">
        <f t="shared" si="7"/>
        <v>9.3426117856085289E-2</v>
      </c>
      <c r="AE13" s="75">
        <f t="shared" si="8"/>
        <v>0.15426829268292686</v>
      </c>
    </row>
    <row r="14" spans="1:31">
      <c r="A14" s="24" t="s">
        <v>92</v>
      </c>
      <c r="B14" s="25">
        <f>R36/R34</f>
        <v>0.50696995384760291</v>
      </c>
      <c r="C14" s="25">
        <f>S36/S34</f>
        <v>0.47283550264315222</v>
      </c>
      <c r="D14" s="25">
        <f>C14/B14-1</f>
        <v>-6.7330323908528222E-2</v>
      </c>
      <c r="E14" s="25">
        <f>U36/U34</f>
        <v>0.47524151771129886</v>
      </c>
      <c r="F14" s="25">
        <f>E14/C14-1</f>
        <v>5.0884822622181414E-3</v>
      </c>
      <c r="G14" s="25">
        <f>W36/W34</f>
        <v>0.5077481737955496</v>
      </c>
      <c r="H14" s="25">
        <f>G14/E14-1</f>
        <v>6.8400286744303207E-2</v>
      </c>
      <c r="I14" s="25">
        <f>Y36/Y34</f>
        <v>0.51606142436822378</v>
      </c>
      <c r="J14" s="25">
        <f>I14/G14-1</f>
        <v>1.6372782811862274E-2</v>
      </c>
      <c r="K14" s="1" t="s">
        <v>93</v>
      </c>
      <c r="L14" s="3" t="s">
        <v>94</v>
      </c>
      <c r="M14" s="26" t="s">
        <v>95</v>
      </c>
      <c r="N14" s="126" t="s">
        <v>96</v>
      </c>
      <c r="O14" s="126"/>
      <c r="P14" s="127"/>
      <c r="Q14" s="27" t="s">
        <v>97</v>
      </c>
      <c r="R14" s="76">
        <v>3828000</v>
      </c>
      <c r="S14" s="75">
        <f t="shared" si="0"/>
        <v>0.17292316031982655</v>
      </c>
      <c r="T14" s="76">
        <v>798000</v>
      </c>
      <c r="U14" s="75">
        <f t="shared" si="1"/>
        <v>3.9320029563932005E-2</v>
      </c>
      <c r="V14" s="75">
        <f t="shared" si="2"/>
        <v>-0.79153605015673978</v>
      </c>
      <c r="W14" s="76">
        <v>1220000</v>
      </c>
      <c r="X14" s="75">
        <f t="shared" si="3"/>
        <v>6.7702552719200892E-2</v>
      </c>
      <c r="Y14" s="75">
        <f t="shared" si="4"/>
        <v>0.52882205513784464</v>
      </c>
      <c r="Z14" s="51">
        <v>2130000</v>
      </c>
      <c r="AA14" s="75">
        <f t="shared" si="5"/>
        <v>0.10312273057371096</v>
      </c>
      <c r="AB14" s="75">
        <f t="shared" si="6"/>
        <v>0.74590163934426235</v>
      </c>
      <c r="AC14" s="51">
        <v>1617000</v>
      </c>
      <c r="AD14" s="75">
        <f t="shared" si="7"/>
        <v>7.9804560260586313E-2</v>
      </c>
      <c r="AE14" s="75">
        <f t="shared" si="8"/>
        <v>-0.24084507042253522</v>
      </c>
    </row>
    <row r="15" spans="1:31">
      <c r="A15" s="24" t="s">
        <v>98</v>
      </c>
      <c r="B15" s="68">
        <f>R42</f>
        <v>3066000</v>
      </c>
      <c r="C15" s="68">
        <f>S42</f>
        <v>1874000</v>
      </c>
      <c r="D15" s="25">
        <f>C15/B15-1</f>
        <v>-0.38878016960208739</v>
      </c>
      <c r="E15" s="68">
        <f>U42</f>
        <v>1358000</v>
      </c>
      <c r="F15" s="25">
        <f>E15/C15-1</f>
        <v>-0.27534685165421557</v>
      </c>
      <c r="G15" s="68">
        <f>W42</f>
        <v>2465000</v>
      </c>
      <c r="H15" s="25">
        <f>G15/E15-1</f>
        <v>0.81516936671575846</v>
      </c>
      <c r="I15" s="68">
        <f>Y42</f>
        <v>3124000</v>
      </c>
      <c r="J15" s="25">
        <f>I15/G15-1</f>
        <v>0.26734279918864101</v>
      </c>
      <c r="K15" s="1"/>
      <c r="L15" s="3"/>
      <c r="M15" s="26"/>
      <c r="N15" s="126"/>
      <c r="O15" s="126"/>
      <c r="P15" s="127"/>
      <c r="Q15" s="30" t="s">
        <v>99</v>
      </c>
      <c r="R15" s="81">
        <v>13944000</v>
      </c>
      <c r="S15" s="75">
        <f t="shared" si="0"/>
        <v>0.62989564981704838</v>
      </c>
      <c r="T15" s="81">
        <v>11732000</v>
      </c>
      <c r="U15" s="75">
        <f t="shared" si="1"/>
        <v>0.57807341709780735</v>
      </c>
      <c r="V15" s="75">
        <f t="shared" si="2"/>
        <v>-0.15863453815261042</v>
      </c>
      <c r="W15" s="81">
        <v>9809000</v>
      </c>
      <c r="X15" s="75">
        <f t="shared" si="3"/>
        <v>0.54433962264150948</v>
      </c>
      <c r="Y15" s="75">
        <f t="shared" si="4"/>
        <v>-0.16391067166723494</v>
      </c>
      <c r="Z15" s="52">
        <v>11904000</v>
      </c>
      <c r="AA15" s="75">
        <f t="shared" si="5"/>
        <v>0.57632534495279597</v>
      </c>
      <c r="AB15" s="75">
        <f t="shared" si="6"/>
        <v>0.21357936588846971</v>
      </c>
      <c r="AC15" s="52">
        <f>AC11+AC12+AC13+AC14</f>
        <v>11976000</v>
      </c>
      <c r="AD15" s="75">
        <f t="shared" si="7"/>
        <v>0.59105715131773762</v>
      </c>
      <c r="AE15" s="75">
        <f t="shared" si="8"/>
        <v>6.0483870967742437E-3</v>
      </c>
    </row>
    <row r="16" spans="1:31" ht="15.95" thickBot="1">
      <c r="A16" s="24" t="s">
        <v>100</v>
      </c>
      <c r="B16" s="25">
        <f>R42/R34</f>
        <v>0.14439107092398984</v>
      </c>
      <c r="C16" s="25">
        <f>S42/S34</f>
        <v>8.3248189773888315E-2</v>
      </c>
      <c r="D16" s="25">
        <f>C16/B16-1</f>
        <v>-0.42345333931547802</v>
      </c>
      <c r="E16" s="25">
        <f>U42/U34</f>
        <v>6.337798105194381E-2</v>
      </c>
      <c r="F16" s="25">
        <f>E16/C16-1</f>
        <v>-0.23868637595501219</v>
      </c>
      <c r="G16" s="25">
        <f>W42/W34</f>
        <v>0.104083097580543</v>
      </c>
      <c r="H16" s="25">
        <f>G16/E16-1</f>
        <v>0.6422595963610418</v>
      </c>
      <c r="I16" s="25">
        <f>Y42/Y34</f>
        <v>0.12591189391802024</v>
      </c>
      <c r="J16" s="25">
        <f>I16/G16-1</f>
        <v>0.20972469925374182</v>
      </c>
      <c r="K16" s="1" t="s">
        <v>101</v>
      </c>
      <c r="L16" s="3" t="s">
        <v>102</v>
      </c>
      <c r="M16" s="26" t="s">
        <v>103</v>
      </c>
      <c r="N16" s="126" t="s">
        <v>104</v>
      </c>
      <c r="O16" s="126"/>
      <c r="P16" s="127"/>
      <c r="Q16" s="30" t="s">
        <v>105</v>
      </c>
      <c r="R16" s="80">
        <v>22137000</v>
      </c>
      <c r="S16" s="75">
        <f t="shared" si="0"/>
        <v>1</v>
      </c>
      <c r="T16" s="80">
        <v>20295000</v>
      </c>
      <c r="U16" s="75">
        <f t="shared" si="1"/>
        <v>1</v>
      </c>
      <c r="V16" s="75">
        <f t="shared" si="2"/>
        <v>-8.3209106925057563E-2</v>
      </c>
      <c r="W16" s="80">
        <v>18020000</v>
      </c>
      <c r="X16" s="75">
        <f t="shared" si="3"/>
        <v>1</v>
      </c>
      <c r="Y16" s="75">
        <f t="shared" si="4"/>
        <v>-0.11209657551120966</v>
      </c>
      <c r="Z16" s="53">
        <v>20655000</v>
      </c>
      <c r="AA16" s="75">
        <f t="shared" si="5"/>
        <v>1</v>
      </c>
      <c r="AB16" s="75">
        <f t="shared" si="6"/>
        <v>0.14622641509433953</v>
      </c>
      <c r="AC16" s="53">
        <f>AC10+AC15</f>
        <v>20262000</v>
      </c>
      <c r="AD16" s="75">
        <f t="shared" si="7"/>
        <v>1</v>
      </c>
      <c r="AE16" s="75">
        <f t="shared" si="8"/>
        <v>-1.9026870007262109E-2</v>
      </c>
    </row>
    <row r="17" spans="1:31" ht="15.95" thickTop="1">
      <c r="A17" s="24" t="s">
        <v>106</v>
      </c>
      <c r="B17" s="25">
        <f>R44/R34</f>
        <v>9.3670528397852504E-2</v>
      </c>
      <c r="C17" s="25">
        <f>S44/S34</f>
        <v>2.9718804140198125E-2</v>
      </c>
      <c r="D17" s="25">
        <f>C17/B17-1</f>
        <v>-0.6827304740507959</v>
      </c>
      <c r="E17" s="25">
        <f>U44/U34</f>
        <v>1.2507583889485229E-2</v>
      </c>
      <c r="F17" s="25">
        <f>E17/C17-1</f>
        <v>-0.57913569366785955</v>
      </c>
      <c r="G17" s="25">
        <f>W44/W34</f>
        <v>5.645399653760081E-2</v>
      </c>
      <c r="H17" s="25">
        <f>G17/E17-1</f>
        <v>3.5135812828775093</v>
      </c>
      <c r="I17" s="25">
        <f>Y44/Y34</f>
        <v>8.3027689331344967E-2</v>
      </c>
      <c r="J17" s="25">
        <f>I17/G17-1</f>
        <v>0.47071411102037608</v>
      </c>
      <c r="K17" s="1"/>
      <c r="L17" s="3"/>
      <c r="M17" s="26"/>
      <c r="N17" s="126"/>
      <c r="O17" s="126"/>
      <c r="P17" s="127"/>
      <c r="Q17" s="27" t="s">
        <v>107</v>
      </c>
      <c r="R17" s="76">
        <v>192000</v>
      </c>
      <c r="S17" s="75">
        <f t="shared" si="0"/>
        <v>8.6732619596151233E-3</v>
      </c>
      <c r="T17" s="76">
        <v>179000</v>
      </c>
      <c r="U17" s="75">
        <f t="shared" si="1"/>
        <v>8.8199063808819915E-3</v>
      </c>
      <c r="V17" s="75">
        <f t="shared" si="2"/>
        <v>-6.770833333333337E-2</v>
      </c>
      <c r="W17" s="76">
        <v>179000</v>
      </c>
      <c r="X17" s="75">
        <f t="shared" si="3"/>
        <v>9.9334073251942292E-3</v>
      </c>
      <c r="Y17" s="75">
        <f t="shared" si="4"/>
        <v>0</v>
      </c>
      <c r="Z17" s="51">
        <v>179000</v>
      </c>
      <c r="AA17" s="75">
        <f t="shared" si="5"/>
        <v>8.666182522391673E-3</v>
      </c>
      <c r="AB17" s="75">
        <f t="shared" si="6"/>
        <v>0</v>
      </c>
      <c r="AC17" s="51">
        <v>179000</v>
      </c>
      <c r="AD17" s="75">
        <f t="shared" si="7"/>
        <v>8.8342710492547629E-3</v>
      </c>
      <c r="AE17" s="75">
        <f t="shared" si="8"/>
        <v>0</v>
      </c>
    </row>
    <row r="18" spans="1:31">
      <c r="A18" s="121" t="s">
        <v>108</v>
      </c>
      <c r="B18" s="122"/>
      <c r="C18" s="122"/>
      <c r="D18" s="122"/>
      <c r="E18" s="122"/>
      <c r="F18" s="122"/>
      <c r="G18" s="122"/>
      <c r="H18" s="122"/>
      <c r="I18" s="122"/>
      <c r="J18" s="122"/>
      <c r="K18" s="122"/>
      <c r="L18" s="122"/>
      <c r="M18" s="122"/>
      <c r="N18" s="122"/>
      <c r="O18" s="122"/>
      <c r="P18" s="123"/>
      <c r="Q18" s="32" t="s">
        <v>109</v>
      </c>
      <c r="R18" s="76">
        <v>785000</v>
      </c>
      <c r="S18" s="75">
        <f t="shared" si="0"/>
        <v>3.5460992907801421E-2</v>
      </c>
      <c r="T18" s="76">
        <v>825000</v>
      </c>
      <c r="U18" s="75">
        <f t="shared" si="1"/>
        <v>4.065040650406504E-2</v>
      </c>
      <c r="V18" s="75">
        <f t="shared" si="2"/>
        <v>5.0955414012738842E-2</v>
      </c>
      <c r="W18" s="76">
        <v>601000</v>
      </c>
      <c r="X18" s="75">
        <f t="shared" si="3"/>
        <v>3.3351831298557157E-2</v>
      </c>
      <c r="Y18" s="75">
        <f t="shared" si="4"/>
        <v>-0.27151515151515149</v>
      </c>
      <c r="Z18" s="51">
        <v>914000</v>
      </c>
      <c r="AA18" s="75">
        <f t="shared" si="5"/>
        <v>4.4250786734446865E-2</v>
      </c>
      <c r="AB18" s="75">
        <f t="shared" si="6"/>
        <v>0.52079866888519133</v>
      </c>
      <c r="AC18" s="51">
        <v>-161000</v>
      </c>
      <c r="AD18" s="75">
        <f t="shared" si="7"/>
        <v>-7.9459085973743963E-3</v>
      </c>
      <c r="AE18" s="75">
        <f t="shared" si="8"/>
        <v>-1.1761487964989059</v>
      </c>
    </row>
    <row r="19" spans="1:31">
      <c r="A19" s="24" t="s">
        <v>110</v>
      </c>
      <c r="B19" s="31">
        <f>R12*365/R34</f>
        <v>51.826080813789204</v>
      </c>
      <c r="C19" s="31">
        <f>T12*365/S34</f>
        <v>30.19101772466794</v>
      </c>
      <c r="D19" s="25">
        <f>C19/B19-1</f>
        <v>-0.41745512586328715</v>
      </c>
      <c r="E19" s="31">
        <f>W12*365/U34</f>
        <v>49.451393102160829</v>
      </c>
      <c r="F19" s="25">
        <f>E19/C19-1</f>
        <v>0.6379505173737805</v>
      </c>
      <c r="G19" s="31">
        <f>Z12*365/W34</f>
        <v>48.470421821559768</v>
      </c>
      <c r="H19" s="25">
        <f>G19/E19-1</f>
        <v>-1.9837080799209983E-2</v>
      </c>
      <c r="I19" s="31">
        <f>AC12*365/Y34</f>
        <v>38.749345048567164</v>
      </c>
      <c r="J19" s="25">
        <f>I19/G19-1</f>
        <v>-0.20055688412987249</v>
      </c>
      <c r="K19" s="1" t="s">
        <v>111</v>
      </c>
      <c r="L19" s="3" t="s">
        <v>112</v>
      </c>
      <c r="M19" s="26" t="s">
        <v>113</v>
      </c>
      <c r="N19" s="126" t="s">
        <v>114</v>
      </c>
      <c r="O19" s="126"/>
      <c r="P19" s="127"/>
      <c r="Q19" s="32" t="s">
        <v>115</v>
      </c>
      <c r="R19" s="76" t="s">
        <v>116</v>
      </c>
      <c r="S19" s="75" t="str">
        <f t="shared" si="0"/>
        <v>N/A</v>
      </c>
      <c r="T19" s="76" t="s">
        <v>116</v>
      </c>
      <c r="U19" s="75" t="str">
        <f t="shared" si="1"/>
        <v>N/A</v>
      </c>
      <c r="V19" s="75" t="str">
        <f t="shared" si="2"/>
        <v>N/A</v>
      </c>
      <c r="W19" s="76" t="s">
        <v>116</v>
      </c>
      <c r="X19" s="75" t="str">
        <f t="shared" si="3"/>
        <v>N/A</v>
      </c>
      <c r="Y19" s="75" t="str">
        <f t="shared" si="4"/>
        <v>N/A</v>
      </c>
      <c r="Z19" s="51" t="s">
        <v>117</v>
      </c>
      <c r="AA19" s="75" t="str">
        <f t="shared" si="5"/>
        <v>N/A</v>
      </c>
      <c r="AB19" s="75" t="str">
        <f t="shared" si="6"/>
        <v>N/A</v>
      </c>
      <c r="AC19" s="51">
        <v>0</v>
      </c>
      <c r="AD19" s="75">
        <f t="shared" si="7"/>
        <v>0</v>
      </c>
      <c r="AE19" s="75" t="str">
        <f t="shared" si="8"/>
        <v>N/A</v>
      </c>
    </row>
    <row r="20" spans="1:31">
      <c r="A20" s="24" t="s">
        <v>118</v>
      </c>
      <c r="B20" s="31">
        <f>R11*365/R35</f>
        <v>139.77313974591652</v>
      </c>
      <c r="C20" s="31">
        <f>T11*365/S35</f>
        <v>183.71492373809724</v>
      </c>
      <c r="D20" s="25">
        <f>C20/B20-1</f>
        <v>0.31437931545402287</v>
      </c>
      <c r="E20" s="31">
        <f>W11*365/U35</f>
        <v>146.88945215225897</v>
      </c>
      <c r="F20" s="25">
        <f>E20/C20-1</f>
        <v>-0.20044899367204605</v>
      </c>
      <c r="G20" s="31">
        <f>Z11*365/W35</f>
        <v>156.20046320123521</v>
      </c>
      <c r="H20" s="25">
        <f>G20/E20-1</f>
        <v>6.3387880562893351E-2</v>
      </c>
      <c r="I20" s="31">
        <f>AC11*365/Y35</f>
        <v>177.28658282668442</v>
      </c>
      <c r="J20" s="25">
        <f>I20/G20-1</f>
        <v>0.13499396348321757</v>
      </c>
      <c r="K20" s="1" t="s">
        <v>111</v>
      </c>
      <c r="L20" s="3" t="s">
        <v>112</v>
      </c>
      <c r="M20" s="26" t="s">
        <v>113</v>
      </c>
      <c r="N20" s="126" t="s">
        <v>114</v>
      </c>
      <c r="O20" s="126"/>
      <c r="P20" s="127"/>
      <c r="Q20" s="27" t="s">
        <v>119</v>
      </c>
      <c r="R20" s="76">
        <v>6860000</v>
      </c>
      <c r="S20" s="75">
        <f t="shared" si="0"/>
        <v>0.30988842209874873</v>
      </c>
      <c r="T20" s="76">
        <v>4347000</v>
      </c>
      <c r="U20" s="75">
        <f t="shared" si="1"/>
        <v>0.21419068736141908</v>
      </c>
      <c r="V20" s="75">
        <f t="shared" si="2"/>
        <v>-0.36632653061224485</v>
      </c>
      <c r="W20" s="76">
        <v>4145000</v>
      </c>
      <c r="X20" s="75">
        <f t="shared" si="3"/>
        <v>0.23002219755826858</v>
      </c>
      <c r="Y20" s="75">
        <f t="shared" si="4"/>
        <v>-4.6468829077524698E-2</v>
      </c>
      <c r="Z20" s="51">
        <v>4775000</v>
      </c>
      <c r="AA20" s="75">
        <f t="shared" si="5"/>
        <v>0.23117889130961025</v>
      </c>
      <c r="AB20" s="75">
        <f t="shared" si="6"/>
        <v>0.15199034981905912</v>
      </c>
      <c r="AC20" s="51">
        <v>5758000</v>
      </c>
      <c r="AD20" s="75">
        <f t="shared" si="7"/>
        <v>0.28417727766261969</v>
      </c>
      <c r="AE20" s="75">
        <f t="shared" si="8"/>
        <v>0.20586387434554965</v>
      </c>
    </row>
    <row r="21" spans="1:31">
      <c r="A21" s="24" t="s">
        <v>120</v>
      </c>
      <c r="B21" s="31">
        <f>R25*365/R35</f>
        <v>79.97994077753367</v>
      </c>
      <c r="C21" s="31">
        <f>T25*365/S35</f>
        <v>89.442993174349041</v>
      </c>
      <c r="D21" s="25">
        <f>C21/B21-1</f>
        <v>0.11831782200410856</v>
      </c>
      <c r="E21" s="31">
        <f>W25*365/U35</f>
        <v>73.882959800782643</v>
      </c>
      <c r="F21" s="25">
        <f>E21/C21-1</f>
        <v>-0.17396592870316407</v>
      </c>
      <c r="G21" s="31">
        <f>Z25*365/W35</f>
        <v>96.932578486875968</v>
      </c>
      <c r="H21" s="25">
        <f>G21/E21-1</f>
        <v>0.31197476046227868</v>
      </c>
      <c r="I21" s="31">
        <f>AC25*365/Y35</f>
        <v>88.460897809611055</v>
      </c>
      <c r="J21" s="25">
        <f>I21/G21-1</f>
        <v>-8.7397661441678487E-2</v>
      </c>
      <c r="K21" s="1" t="s">
        <v>114</v>
      </c>
      <c r="L21" s="3" t="s">
        <v>113</v>
      </c>
      <c r="M21" s="26" t="s">
        <v>112</v>
      </c>
      <c r="N21" s="124" t="s">
        <v>121</v>
      </c>
      <c r="O21" s="124"/>
      <c r="P21" s="125"/>
      <c r="Q21" s="30" t="s">
        <v>122</v>
      </c>
      <c r="R21" s="81">
        <v>7837000</v>
      </c>
      <c r="S21" s="75">
        <f t="shared" si="0"/>
        <v>0.35402267696616524</v>
      </c>
      <c r="T21" s="81">
        <v>5351000</v>
      </c>
      <c r="U21" s="75">
        <f t="shared" si="1"/>
        <v>0.26366100024636607</v>
      </c>
      <c r="V21" s="75">
        <f t="shared" si="2"/>
        <v>-0.31721321934413682</v>
      </c>
      <c r="W21" s="81">
        <v>4925000</v>
      </c>
      <c r="X21" s="75">
        <f t="shared" si="3"/>
        <v>0.27330743618201997</v>
      </c>
      <c r="Y21" s="75">
        <f t="shared" si="4"/>
        <v>-7.9611287609792525E-2</v>
      </c>
      <c r="Z21" s="52">
        <v>5868000</v>
      </c>
      <c r="AA21" s="75">
        <f t="shared" si="5"/>
        <v>0.28409586056644881</v>
      </c>
      <c r="AB21" s="75">
        <f t="shared" si="6"/>
        <v>0.19147208121827419</v>
      </c>
      <c r="AC21" s="52">
        <f>AC17+AC18+AC19+AC20</f>
        <v>5776000</v>
      </c>
      <c r="AD21" s="75">
        <f t="shared" si="7"/>
        <v>0.28506564011450003</v>
      </c>
      <c r="AE21" s="75">
        <f t="shared" si="8"/>
        <v>-1.5678254942058656E-2</v>
      </c>
    </row>
    <row r="22" spans="1:31">
      <c r="A22" s="24" t="s">
        <v>36</v>
      </c>
      <c r="B22" s="31">
        <f>B19+B20-B21</f>
        <v>111.61927978217204</v>
      </c>
      <c r="C22" s="31">
        <f>C19+C20-C21</f>
        <v>124.46294828841614</v>
      </c>
      <c r="D22" s="25">
        <f>C22/B22-1</f>
        <v>0.11506675666881971</v>
      </c>
      <c r="E22" s="31">
        <f>E19+E20-E21</f>
        <v>122.45788545363716</v>
      </c>
      <c r="F22" s="25">
        <f>E22/C22-1</f>
        <v>-1.6109716685584807E-2</v>
      </c>
      <c r="G22" s="31">
        <f>G19+G20-G21</f>
        <v>107.73830653591901</v>
      </c>
      <c r="H22" s="25">
        <f>G22/E22-1</f>
        <v>-0.12020115212009785</v>
      </c>
      <c r="I22" s="31">
        <f>I19+I20-I21</f>
        <v>127.57503006564053</v>
      </c>
      <c r="J22" s="25">
        <f>I22/G22-1</f>
        <v>0.18411950370788621</v>
      </c>
      <c r="K22" s="1" t="s">
        <v>123</v>
      </c>
      <c r="L22" s="3" t="s">
        <v>124</v>
      </c>
      <c r="M22" s="26" t="s">
        <v>125</v>
      </c>
      <c r="N22" s="126" t="s">
        <v>126</v>
      </c>
      <c r="O22" s="126"/>
      <c r="P22" s="127"/>
      <c r="Q22" s="27" t="s">
        <v>127</v>
      </c>
      <c r="R22" s="76">
        <v>4729000</v>
      </c>
      <c r="S22" s="75">
        <f t="shared" si="0"/>
        <v>0.21362424899489543</v>
      </c>
      <c r="T22" s="76">
        <v>5289000</v>
      </c>
      <c r="U22" s="75">
        <f t="shared" si="1"/>
        <v>0.26060606060606062</v>
      </c>
      <c r="V22" s="75">
        <f t="shared" si="2"/>
        <v>0.1184182702474097</v>
      </c>
      <c r="W22" s="76">
        <v>4469000</v>
      </c>
      <c r="X22" s="75">
        <f t="shared" si="3"/>
        <v>0.24800221975582687</v>
      </c>
      <c r="Y22" s="75">
        <f t="shared" si="4"/>
        <v>-0.15503875968992253</v>
      </c>
      <c r="Z22" s="51">
        <v>4410000</v>
      </c>
      <c r="AA22" s="75">
        <f t="shared" si="5"/>
        <v>0.21350762527233116</v>
      </c>
      <c r="AB22" s="75">
        <f t="shared" si="6"/>
        <v>-1.3202058626090807E-2</v>
      </c>
      <c r="AC22" s="51">
        <v>4306000</v>
      </c>
      <c r="AD22" s="75">
        <f t="shared" si="7"/>
        <v>0.2125160398776034</v>
      </c>
      <c r="AE22" s="75">
        <f t="shared" si="8"/>
        <v>-2.3582766439909308E-2</v>
      </c>
    </row>
    <row r="23" spans="1:31">
      <c r="A23" s="121" t="s">
        <v>128</v>
      </c>
      <c r="B23" s="122"/>
      <c r="C23" s="122"/>
      <c r="D23" s="122"/>
      <c r="E23" s="122"/>
      <c r="F23" s="122"/>
      <c r="G23" s="122"/>
      <c r="H23" s="122"/>
      <c r="I23" s="122"/>
      <c r="J23" s="122"/>
      <c r="K23" s="122"/>
      <c r="L23" s="122"/>
      <c r="M23" s="122"/>
      <c r="N23" s="122"/>
      <c r="O23" s="122"/>
      <c r="P23" s="123"/>
      <c r="Q23" s="27" t="s">
        <v>129</v>
      </c>
      <c r="R23" s="76">
        <v>606000</v>
      </c>
      <c r="S23" s="75">
        <f t="shared" si="0"/>
        <v>2.7374983060035236E-2</v>
      </c>
      <c r="T23" s="76">
        <v>399000</v>
      </c>
      <c r="U23" s="75">
        <f t="shared" si="1"/>
        <v>1.9660014781966002E-2</v>
      </c>
      <c r="V23" s="75">
        <f t="shared" si="2"/>
        <v>-0.34158415841584155</v>
      </c>
      <c r="W23" s="76">
        <v>583000</v>
      </c>
      <c r="X23" s="75">
        <f t="shared" si="3"/>
        <v>3.2352941176470591E-2</v>
      </c>
      <c r="Y23" s="75">
        <f t="shared" si="4"/>
        <v>0.46115288220551376</v>
      </c>
      <c r="Z23" s="51">
        <v>784000</v>
      </c>
      <c r="AA23" s="75">
        <f t="shared" si="5"/>
        <v>3.7956911159525542E-2</v>
      </c>
      <c r="AB23" s="75">
        <f t="shared" si="6"/>
        <v>0.34476843910806165</v>
      </c>
      <c r="AC23" s="51">
        <v>737000</v>
      </c>
      <c r="AD23" s="75">
        <f t="shared" si="7"/>
        <v>3.6373507057546148E-2</v>
      </c>
      <c r="AE23" s="75">
        <f t="shared" si="8"/>
        <v>-5.994897959183676E-2</v>
      </c>
    </row>
    <row r="24" spans="1:31">
      <c r="A24" s="24" t="s">
        <v>130</v>
      </c>
      <c r="B24" s="28">
        <f>R34/R8</f>
        <v>4.4008290155440415</v>
      </c>
      <c r="C24" s="28">
        <f>S34/T8</f>
        <v>4.5541169330366174</v>
      </c>
      <c r="D24" s="25">
        <f>C24/B24-1</f>
        <v>3.4831600353286252E-2</v>
      </c>
      <c r="E24" s="28">
        <f>U34/W8</f>
        <v>4.8642451759364356</v>
      </c>
      <c r="F24" s="25">
        <f>E24/C24-1</f>
        <v>6.8098436526755846E-2</v>
      </c>
      <c r="G24" s="28">
        <f>W34/Z8</f>
        <v>4.8214576547231269</v>
      </c>
      <c r="H24" s="25">
        <f>G24/E24-1</f>
        <v>-8.7963331751820251E-3</v>
      </c>
      <c r="I24" s="28">
        <f>Y34/AC8</f>
        <v>5.4196155526430756</v>
      </c>
      <c r="J24" s="25">
        <f>I24/G24-1</f>
        <v>0.12406163047683094</v>
      </c>
      <c r="K24" s="1" t="s">
        <v>75</v>
      </c>
      <c r="L24" s="3" t="s">
        <v>131</v>
      </c>
      <c r="M24" s="26" t="s">
        <v>132</v>
      </c>
      <c r="N24" s="124" t="s">
        <v>133</v>
      </c>
      <c r="O24" s="124"/>
      <c r="P24" s="125"/>
      <c r="Q24" s="30" t="s">
        <v>134</v>
      </c>
      <c r="R24" s="81">
        <v>5335000</v>
      </c>
      <c r="S24" s="75">
        <f t="shared" si="0"/>
        <v>0.24099923205493065</v>
      </c>
      <c r="T24" s="81">
        <v>5688000</v>
      </c>
      <c r="U24" s="75">
        <f t="shared" si="1"/>
        <v>0.28026607538802661</v>
      </c>
      <c r="V24" s="75">
        <f t="shared" si="2"/>
        <v>6.6166822867853803E-2</v>
      </c>
      <c r="W24" s="81">
        <v>5052000</v>
      </c>
      <c r="X24" s="75">
        <f t="shared" si="3"/>
        <v>0.28035516093229745</v>
      </c>
      <c r="Y24" s="75">
        <f t="shared" si="4"/>
        <v>-0.11181434599156115</v>
      </c>
      <c r="Z24" s="52">
        <v>5194000</v>
      </c>
      <c r="AA24" s="75">
        <f t="shared" si="5"/>
        <v>0.25146453643185668</v>
      </c>
      <c r="AB24" s="75">
        <f t="shared" si="6"/>
        <v>2.8107680126682411E-2</v>
      </c>
      <c r="AC24" s="52">
        <f>AC22+AC23</f>
        <v>5043000</v>
      </c>
      <c r="AD24" s="75">
        <f t="shared" si="7"/>
        <v>0.24888954693514953</v>
      </c>
      <c r="AE24" s="75">
        <f t="shared" si="8"/>
        <v>-2.9072006160954955E-2</v>
      </c>
    </row>
    <row r="25" spans="1:31">
      <c r="A25" s="121" t="s">
        <v>135</v>
      </c>
      <c r="B25" s="122"/>
      <c r="C25" s="122"/>
      <c r="D25" s="122"/>
      <c r="E25" s="122"/>
      <c r="F25" s="122"/>
      <c r="G25" s="122"/>
      <c r="H25" s="122"/>
      <c r="I25" s="122"/>
      <c r="J25" s="122"/>
      <c r="K25" s="122"/>
      <c r="L25" s="122"/>
      <c r="M25" s="122"/>
      <c r="N25" s="122"/>
      <c r="O25" s="122"/>
      <c r="P25" s="123"/>
      <c r="Q25" s="27" t="s">
        <v>136</v>
      </c>
      <c r="R25" s="76">
        <f>2294000</f>
        <v>2294000</v>
      </c>
      <c r="S25" s="75">
        <f t="shared" si="0"/>
        <v>0.10362741112165154</v>
      </c>
      <c r="T25" s="76">
        <v>2908000</v>
      </c>
      <c r="U25" s="75">
        <f t="shared" si="1"/>
        <v>0.14328652377432866</v>
      </c>
      <c r="V25" s="75">
        <f t="shared" si="2"/>
        <v>0.26765475152571927</v>
      </c>
      <c r="W25" s="76">
        <v>2276000</v>
      </c>
      <c r="X25" s="75">
        <f t="shared" si="3"/>
        <v>0.1263041065482797</v>
      </c>
      <c r="Y25" s="75">
        <f t="shared" si="4"/>
        <v>-0.21733149931224205</v>
      </c>
      <c r="Z25" s="51">
        <v>3096000</v>
      </c>
      <c r="AA25" s="75">
        <f t="shared" si="5"/>
        <v>0.14989106753812637</v>
      </c>
      <c r="AB25" s="75">
        <f t="shared" si="6"/>
        <v>0.36028119507908607</v>
      </c>
      <c r="AC25" s="51">
        <f>2910000</f>
        <v>2910000</v>
      </c>
      <c r="AD25" s="75">
        <f t="shared" si="7"/>
        <v>0.14361859638732602</v>
      </c>
      <c r="AE25" s="75">
        <f t="shared" si="8"/>
        <v>-6.0077519379844957E-2</v>
      </c>
    </row>
    <row r="26" spans="1:31">
      <c r="A26" s="24" t="s">
        <v>137</v>
      </c>
      <c r="B26" s="31">
        <f>R15/R29</f>
        <v>1.5553820412716117</v>
      </c>
      <c r="C26" s="31">
        <f>T15/T29</f>
        <v>1.2673652371178568</v>
      </c>
      <c r="D26" s="25">
        <f>C26/B26-1</f>
        <v>-0.18517431506299575</v>
      </c>
      <c r="E26" s="31">
        <f>W15/W29</f>
        <v>1.2195698122591072</v>
      </c>
      <c r="F26" s="25">
        <f>E26/C26-1</f>
        <v>-3.7712431632922261E-2</v>
      </c>
      <c r="G26" s="31">
        <f>Z15/Z29</f>
        <v>1.2409048264359428</v>
      </c>
      <c r="H26" s="25">
        <f>G26/E26-1</f>
        <v>1.7493885107991547E-2</v>
      </c>
      <c r="I26" s="31">
        <f>AC15/AC29</f>
        <v>1.3170570768723193</v>
      </c>
      <c r="J26" s="25">
        <f>I26/G26-1</f>
        <v>6.1368324801424734E-2</v>
      </c>
      <c r="K26" s="1" t="s">
        <v>138</v>
      </c>
      <c r="L26" s="3" t="s">
        <v>139</v>
      </c>
      <c r="M26" s="26" t="s">
        <v>140</v>
      </c>
      <c r="N26" s="124" t="s">
        <v>141</v>
      </c>
      <c r="O26" s="124"/>
      <c r="P26" s="125"/>
      <c r="Q26" s="27" t="s">
        <v>142</v>
      </c>
      <c r="R26" s="79" t="s">
        <v>116</v>
      </c>
      <c r="S26" s="75" t="str">
        <f t="shared" si="0"/>
        <v>N/A</v>
      </c>
      <c r="T26" s="79" t="s">
        <v>116</v>
      </c>
      <c r="U26" s="75" t="str">
        <f t="shared" si="1"/>
        <v>N/A</v>
      </c>
      <c r="V26" s="75" t="str">
        <f t="shared" si="2"/>
        <v>N/A</v>
      </c>
      <c r="W26" s="79" t="s">
        <v>116</v>
      </c>
      <c r="X26" s="75" t="str">
        <f t="shared" si="3"/>
        <v>N/A</v>
      </c>
      <c r="Y26" s="75" t="str">
        <f t="shared" si="4"/>
        <v>N/A</v>
      </c>
      <c r="Z26" s="74" t="s">
        <v>117</v>
      </c>
      <c r="AA26" s="75" t="str">
        <f t="shared" si="5"/>
        <v>N/A</v>
      </c>
      <c r="AB26" s="75" t="str">
        <f t="shared" si="6"/>
        <v>N/A</v>
      </c>
      <c r="AC26" s="74"/>
      <c r="AD26" s="75">
        <f t="shared" si="7"/>
        <v>0</v>
      </c>
      <c r="AE26" s="75" t="str">
        <f t="shared" si="8"/>
        <v>N/A</v>
      </c>
    </row>
    <row r="27" spans="1:31">
      <c r="A27" s="24" t="s">
        <v>143</v>
      </c>
      <c r="B27" s="31">
        <f>(R15-R11)/R29</f>
        <v>1.1081985499163414</v>
      </c>
      <c r="C27" s="31">
        <f>(T15-T11)/T29</f>
        <v>0.62212379820676245</v>
      </c>
      <c r="D27" s="25">
        <f>C27/B27-1</f>
        <v>-0.43861702557386761</v>
      </c>
      <c r="E27" s="31">
        <f>(W15-W11)/W29</f>
        <v>0.65696879273902775</v>
      </c>
      <c r="F27" s="25">
        <f>E27/C27-1</f>
        <v>5.6009743772387655E-2</v>
      </c>
      <c r="G27" s="31">
        <f>(Z15-Z11)/Z29</f>
        <v>0.72083811112269358</v>
      </c>
      <c r="H27" s="25">
        <f>G27/E27-1</f>
        <v>9.7218192233123446E-2</v>
      </c>
      <c r="I27" s="31">
        <f>(AC15-AC11)/AC29</f>
        <v>0.67568459254371493</v>
      </c>
      <c r="J27" s="25">
        <f>I27/G27-1</f>
        <v>-6.2640304226774024E-2</v>
      </c>
      <c r="K27" s="1" t="s">
        <v>138</v>
      </c>
      <c r="L27" s="3" t="s">
        <v>144</v>
      </c>
      <c r="M27" s="26" t="s">
        <v>145</v>
      </c>
      <c r="N27" s="124" t="s">
        <v>146</v>
      </c>
      <c r="O27" s="124"/>
      <c r="P27" s="125"/>
      <c r="Q27" s="27" t="s">
        <v>127</v>
      </c>
      <c r="R27" s="76">
        <v>602000</v>
      </c>
      <c r="S27" s="75">
        <f t="shared" si="0"/>
        <v>2.7194290102543255E-2</v>
      </c>
      <c r="T27" s="76">
        <v>1170000</v>
      </c>
      <c r="U27" s="75">
        <f t="shared" si="1"/>
        <v>5.7649667405764965E-2</v>
      </c>
      <c r="V27" s="75">
        <f t="shared" si="2"/>
        <v>0.94352159468438535</v>
      </c>
      <c r="W27" s="76">
        <v>1094000</v>
      </c>
      <c r="X27" s="75">
        <f t="shared" si="3"/>
        <v>6.0710321864594893E-2</v>
      </c>
      <c r="Y27" s="75">
        <f t="shared" si="4"/>
        <v>-6.4957264957264949E-2</v>
      </c>
      <c r="Z27" s="51">
        <v>1177000</v>
      </c>
      <c r="AA27" s="75">
        <f t="shared" si="5"/>
        <v>5.6983781166787706E-2</v>
      </c>
      <c r="AB27" s="75">
        <f t="shared" si="6"/>
        <v>7.5868372943327156E-2</v>
      </c>
      <c r="AC27" s="51">
        <v>1248000</v>
      </c>
      <c r="AD27" s="75">
        <f t="shared" si="7"/>
        <v>6.1593129997038795E-2</v>
      </c>
      <c r="AE27" s="75">
        <f t="shared" si="8"/>
        <v>6.0322854715378016E-2</v>
      </c>
    </row>
    <row r="28" spans="1:31">
      <c r="A28" s="24" t="s">
        <v>147</v>
      </c>
      <c r="B28" s="31">
        <f>R14/R29</f>
        <v>0.42699386503067482</v>
      </c>
      <c r="C28" s="31">
        <f>T14/T29</f>
        <v>8.6205034028302902E-2</v>
      </c>
      <c r="D28" s="25">
        <f>C28/B28-1</f>
        <v>-0.79811177375555498</v>
      </c>
      <c r="E28" s="31">
        <f>W14/W29</f>
        <v>0.1516846947656347</v>
      </c>
      <c r="F28" s="25">
        <f>E28/C28-1</f>
        <v>0.75958047549558971</v>
      </c>
      <c r="G28" s="31">
        <f>Z14/Z29</f>
        <v>0.222036901907641</v>
      </c>
      <c r="H28" s="25">
        <f>G28/E28-1</f>
        <v>0.46380557544521039</v>
      </c>
      <c r="I28" s="31">
        <f>AC14/AC29</f>
        <v>0.17782909930715934</v>
      </c>
      <c r="J28" s="25">
        <f>I28/G28-1</f>
        <v>-0.19910115039738052</v>
      </c>
      <c r="K28" s="1" t="s">
        <v>148</v>
      </c>
      <c r="L28" s="3" t="s">
        <v>149</v>
      </c>
      <c r="M28" s="26" t="s">
        <v>150</v>
      </c>
      <c r="N28" s="126" t="s">
        <v>151</v>
      </c>
      <c r="O28" s="126"/>
      <c r="P28" s="127"/>
      <c r="Q28" s="27" t="s">
        <v>152</v>
      </c>
      <c r="R28" s="76">
        <f>8363000-2294000</f>
        <v>6069000</v>
      </c>
      <c r="S28" s="75">
        <f t="shared" si="0"/>
        <v>0.2741563897547093</v>
      </c>
      <c r="T28" s="76">
        <f>8087000-2908000</f>
        <v>5179000</v>
      </c>
      <c r="U28" s="75">
        <f t="shared" si="1"/>
        <v>0.25518600640551858</v>
      </c>
      <c r="V28" s="75">
        <f t="shared" si="2"/>
        <v>-0.14664689405173836</v>
      </c>
      <c r="W28" s="76">
        <f>6949000-2276000</f>
        <v>4673000</v>
      </c>
      <c r="X28" s="75">
        <f t="shared" si="3"/>
        <v>0.259322974472808</v>
      </c>
      <c r="Y28" s="75">
        <f t="shared" si="4"/>
        <v>-9.7702259123382929E-2</v>
      </c>
      <c r="Z28" s="51">
        <f>8416000-3096000</f>
        <v>5320000</v>
      </c>
      <c r="AA28" s="75">
        <f t="shared" si="5"/>
        <v>0.25756475429678044</v>
      </c>
      <c r="AB28" s="75">
        <f t="shared" si="6"/>
        <v>0.13845495399101226</v>
      </c>
      <c r="AC28" s="51">
        <f>7845000-2910000</f>
        <v>4935000</v>
      </c>
      <c r="AD28" s="75">
        <f t="shared" si="7"/>
        <v>0.24355937222386734</v>
      </c>
      <c r="AE28" s="75">
        <f t="shared" si="8"/>
        <v>-7.2368421052631526E-2</v>
      </c>
    </row>
    <row r="29" spans="1:31">
      <c r="A29" s="121" t="s">
        <v>153</v>
      </c>
      <c r="B29" s="122"/>
      <c r="C29" s="122"/>
      <c r="D29" s="122"/>
      <c r="E29" s="122"/>
      <c r="F29" s="122"/>
      <c r="G29" s="122"/>
      <c r="H29" s="122"/>
      <c r="I29" s="122"/>
      <c r="J29" s="122"/>
      <c r="K29" s="122"/>
      <c r="L29" s="122"/>
      <c r="M29" s="122"/>
      <c r="N29" s="122"/>
      <c r="O29" s="122"/>
      <c r="P29" s="123"/>
      <c r="Q29" s="30" t="s">
        <v>154</v>
      </c>
      <c r="R29" s="81">
        <v>8965000</v>
      </c>
      <c r="S29" s="75">
        <f t="shared" si="0"/>
        <v>0.40497809097890408</v>
      </c>
      <c r="T29" s="81">
        <v>9257000</v>
      </c>
      <c r="U29" s="75">
        <f t="shared" si="1"/>
        <v>0.45612219758561223</v>
      </c>
      <c r="V29" s="75">
        <f t="shared" si="2"/>
        <v>3.2571109871723403E-2</v>
      </c>
      <c r="W29" s="81">
        <v>8043000</v>
      </c>
      <c r="X29" s="75">
        <f t="shared" si="3"/>
        <v>0.44633740288568258</v>
      </c>
      <c r="Y29" s="75">
        <f t="shared" si="4"/>
        <v>-0.13114399913578911</v>
      </c>
      <c r="Z29" s="52">
        <v>9593000</v>
      </c>
      <c r="AA29" s="75">
        <f t="shared" si="5"/>
        <v>0.46443960300169451</v>
      </c>
      <c r="AB29" s="75">
        <f t="shared" si="6"/>
        <v>0.19271416138256869</v>
      </c>
      <c r="AC29" s="52">
        <f>AC27+AC28+AC25</f>
        <v>9093000</v>
      </c>
      <c r="AD29" s="75">
        <f t="shared" si="7"/>
        <v>0.44877109860823217</v>
      </c>
      <c r="AE29" s="75">
        <f t="shared" si="8"/>
        <v>-5.2121338475972112E-2</v>
      </c>
    </row>
    <row r="30" spans="1:31" ht="15.95" thickBot="1">
      <c r="A30" s="24" t="s">
        <v>155</v>
      </c>
      <c r="B30" s="38">
        <f>(R24+R27)/R21</f>
        <v>0.75756029092765087</v>
      </c>
      <c r="C30" s="38">
        <f>(T24+T27)/T21</f>
        <v>1.281629601943562</v>
      </c>
      <c r="D30" s="25">
        <f>C30/B30-1</f>
        <v>0.69178561401915029</v>
      </c>
      <c r="E30" s="38">
        <f>(W24+W27)/W21</f>
        <v>1.2479187817258883</v>
      </c>
      <c r="F30" s="25">
        <f>E30/C30-1</f>
        <v>-2.6303091132221068E-2</v>
      </c>
      <c r="G30" s="38">
        <f>(Z24+Z27)/Z21</f>
        <v>1.0857191547375598</v>
      </c>
      <c r="H30" s="25">
        <f>G30/E30-1</f>
        <v>-0.12997610851245012</v>
      </c>
      <c r="I30" s="38">
        <f>(AC24+AC27)/AC21</f>
        <v>1.0891620498614958</v>
      </c>
      <c r="J30" s="25">
        <f>I30/G30-1</f>
        <v>3.1710733930712109E-3</v>
      </c>
      <c r="K30" s="1" t="s">
        <v>156</v>
      </c>
      <c r="L30" s="3" t="s">
        <v>157</v>
      </c>
      <c r="M30" s="26" t="s">
        <v>158</v>
      </c>
      <c r="N30" s="126" t="s">
        <v>126</v>
      </c>
      <c r="O30" s="126"/>
      <c r="P30" s="127"/>
      <c r="Q30" s="33" t="s">
        <v>159</v>
      </c>
      <c r="R30" s="80">
        <v>22137000</v>
      </c>
      <c r="S30" s="75">
        <f t="shared" si="0"/>
        <v>1</v>
      </c>
      <c r="T30" s="80">
        <v>20296000</v>
      </c>
      <c r="U30" s="75">
        <f t="shared" si="1"/>
        <v>1.000049273220005</v>
      </c>
      <c r="V30" s="75">
        <f t="shared" si="2"/>
        <v>-8.3163933685684643E-2</v>
      </c>
      <c r="W30" s="80">
        <v>18020000</v>
      </c>
      <c r="X30" s="75">
        <f t="shared" si="3"/>
        <v>1</v>
      </c>
      <c r="Y30" s="75">
        <f t="shared" si="4"/>
        <v>-0.11214032321639733</v>
      </c>
      <c r="Z30" s="53">
        <v>20655000</v>
      </c>
      <c r="AA30" s="75">
        <f t="shared" si="5"/>
        <v>1</v>
      </c>
      <c r="AB30" s="75">
        <f t="shared" si="6"/>
        <v>0.14622641509433953</v>
      </c>
      <c r="AC30" s="53">
        <f>AC21+AC24+AC29</f>
        <v>19912000</v>
      </c>
      <c r="AD30" s="75">
        <f t="shared" si="7"/>
        <v>0.98272628565788178</v>
      </c>
      <c r="AE30" s="75">
        <f t="shared" si="8"/>
        <v>-3.5971919632050375E-2</v>
      </c>
    </row>
    <row r="31" spans="1:31" ht="15.95" thickBot="1">
      <c r="A31" s="24" t="s">
        <v>160</v>
      </c>
      <c r="B31" s="38">
        <f>(R24+R27)/R16</f>
        <v>0.26819352215747388</v>
      </c>
      <c r="C31" s="38">
        <f>(T24+T27)/T16</f>
        <v>0.33791574279379155</v>
      </c>
      <c r="D31" s="25">
        <f>C31/B31-1</f>
        <v>0.25996981610681558</v>
      </c>
      <c r="E31" s="38">
        <f>(W24+W27)/W16</f>
        <v>0.34106548279689236</v>
      </c>
      <c r="F31" s="25">
        <f>E31/C31-1</f>
        <v>9.3210809803048189E-3</v>
      </c>
      <c r="G31" s="38">
        <f>(Z24+Z27)/Z16</f>
        <v>0.30844831759864438</v>
      </c>
      <c r="H31" s="25">
        <f>G31/E31-1</f>
        <v>-9.5633146253242485E-2</v>
      </c>
      <c r="I31" s="38">
        <f>(AC24+AC27)/AC16</f>
        <v>0.31048267693218834</v>
      </c>
      <c r="J31" s="25">
        <f>I31/G31-1</f>
        <v>6.5954625701380998E-3</v>
      </c>
      <c r="K31" s="1" t="s">
        <v>161</v>
      </c>
      <c r="L31" s="3" t="s">
        <v>162</v>
      </c>
      <c r="M31" s="26" t="s">
        <v>76</v>
      </c>
      <c r="N31" s="126" t="s">
        <v>75</v>
      </c>
      <c r="O31" s="126"/>
      <c r="P31" s="127"/>
    </row>
    <row r="32" spans="1:31">
      <c r="A32" s="24" t="s">
        <v>163</v>
      </c>
      <c r="B32" s="28">
        <f>R44/-R46</f>
        <v>11.563953488372093</v>
      </c>
      <c r="C32" s="28">
        <f>S44/-S46</f>
        <v>2.9866071428571428</v>
      </c>
      <c r="D32" s="25">
        <f>C32/B32-1</f>
        <v>-0.74173130790777853</v>
      </c>
      <c r="E32" s="28">
        <f>U44/-U46</f>
        <v>1.2761904761904761</v>
      </c>
      <c r="F32" s="25">
        <f>E32/C32-1</f>
        <v>-0.57269556552067757</v>
      </c>
      <c r="G32" s="28">
        <f>W44/-W46</f>
        <v>5.96875</v>
      </c>
      <c r="H32" s="25">
        <f>G32/E32-1</f>
        <v>3.6770055970149258</v>
      </c>
      <c r="I32" s="28">
        <f>Y44/-Y46</f>
        <v>7.1280276816608996</v>
      </c>
      <c r="J32" s="25">
        <f>I32/G32-1</f>
        <v>0.19422453305313492</v>
      </c>
      <c r="K32" s="1" t="s">
        <v>164</v>
      </c>
      <c r="L32" s="3" t="s">
        <v>165</v>
      </c>
      <c r="M32" s="26" t="s">
        <v>166</v>
      </c>
      <c r="N32" s="126" t="s">
        <v>167</v>
      </c>
      <c r="O32" s="126"/>
      <c r="P32" s="127"/>
      <c r="Q32" s="119" t="s">
        <v>168</v>
      </c>
      <c r="R32" s="114">
        <v>2021</v>
      </c>
      <c r="S32" s="114">
        <v>2022</v>
      </c>
      <c r="T32" s="114" t="s">
        <v>61</v>
      </c>
      <c r="U32" s="114">
        <v>2023</v>
      </c>
      <c r="V32" s="114" t="s">
        <v>61</v>
      </c>
      <c r="W32" s="114">
        <v>2024</v>
      </c>
      <c r="X32" s="114" t="s">
        <v>61</v>
      </c>
      <c r="Y32" s="114">
        <v>2025</v>
      </c>
      <c r="Z32" s="114" t="s">
        <v>61</v>
      </c>
    </row>
    <row r="33" spans="1:41" ht="15.95" thickBot="1">
      <c r="A33" s="24" t="s">
        <v>169</v>
      </c>
      <c r="B33" s="38">
        <f>B46/B15</f>
        <v>0.68786692759295498</v>
      </c>
      <c r="C33" s="38">
        <f>C46/C15</f>
        <v>3.2337246531483457</v>
      </c>
      <c r="D33" s="25">
        <f>C33/B33-1</f>
        <v>3.7010904630406962</v>
      </c>
      <c r="E33" s="38">
        <f>E46/E15</f>
        <v>3.6273932253313697</v>
      </c>
      <c r="F33" s="25">
        <f>E33/C33-1</f>
        <v>0.12173843304801757</v>
      </c>
      <c r="G33" s="38">
        <f>G46/G15</f>
        <v>1.7204868154158215</v>
      </c>
      <c r="H33" s="25">
        <f>G33/E33-1</f>
        <v>-0.52569608296088388</v>
      </c>
      <c r="I33" s="38">
        <f>I46/I15</f>
        <v>1.4961587708066582</v>
      </c>
      <c r="J33" s="25">
        <f>I33/G33-1</f>
        <v>-0.13038637820362831</v>
      </c>
      <c r="K33" s="1" t="s">
        <v>170</v>
      </c>
      <c r="L33" s="3" t="s">
        <v>171</v>
      </c>
      <c r="M33" s="26" t="s">
        <v>77</v>
      </c>
      <c r="N33" s="126" t="s">
        <v>172</v>
      </c>
      <c r="O33" s="126"/>
      <c r="P33" s="127"/>
      <c r="Q33" s="120"/>
      <c r="R33" s="115"/>
      <c r="S33" s="115"/>
      <c r="T33" s="115"/>
      <c r="U33" s="115"/>
      <c r="V33" s="115"/>
      <c r="W33" s="115"/>
      <c r="X33" s="115"/>
      <c r="Y33" s="115"/>
      <c r="Z33" s="115"/>
    </row>
    <row r="34" spans="1:41">
      <c r="A34" s="121" t="s">
        <v>173</v>
      </c>
      <c r="B34" s="122"/>
      <c r="C34" s="122"/>
      <c r="D34" s="122"/>
      <c r="E34" s="122"/>
      <c r="F34" s="122"/>
      <c r="G34" s="122"/>
      <c r="H34" s="122"/>
      <c r="I34" s="122"/>
      <c r="J34" s="122"/>
      <c r="K34" s="122"/>
      <c r="L34" s="122"/>
      <c r="M34" s="122"/>
      <c r="N34" s="122"/>
      <c r="O34" s="122"/>
      <c r="P34" s="131"/>
      <c r="Q34" s="54" t="s">
        <v>174</v>
      </c>
      <c r="R34" s="59">
        <v>21234000</v>
      </c>
      <c r="S34" s="59">
        <v>22511000</v>
      </c>
      <c r="T34" s="82">
        <f t="shared" ref="T34:T52" si="9">IFERROR(S34/R34-1,"N/A")</f>
        <v>6.0139399076952094E-2</v>
      </c>
      <c r="U34" s="59">
        <v>21427000</v>
      </c>
      <c r="V34" s="82">
        <f t="shared" ref="V34:V52" si="10">IFERROR(U34/S34-1,"N/A")</f>
        <v>-4.8154235706987736E-2</v>
      </c>
      <c r="W34" s="59">
        <v>23683000</v>
      </c>
      <c r="X34" s="82">
        <f t="shared" ref="X34:X52" si="11">IFERROR(W34/U34-1,"N/A")</f>
        <v>0.10528772109954732</v>
      </c>
      <c r="Y34" s="59">
        <v>24811000</v>
      </c>
      <c r="Z34" s="82">
        <f t="shared" ref="Z34:Z52" si="12">IFERROR(Y34/W34-1,"N/A")</f>
        <v>4.7629101042942157E-2</v>
      </c>
      <c r="AA34" s="56"/>
      <c r="AB34" s="56"/>
      <c r="AC34" s="58"/>
      <c r="AD34" s="57"/>
      <c r="AE34" s="56"/>
      <c r="AF34" s="56"/>
      <c r="AG34" s="56"/>
      <c r="AH34" s="57"/>
      <c r="AI34" s="57"/>
      <c r="AJ34" s="56"/>
      <c r="AK34" s="56"/>
      <c r="AL34" s="58"/>
      <c r="AM34" s="57"/>
      <c r="AN34" s="58"/>
      <c r="AO34" s="58"/>
    </row>
    <row r="35" spans="1:41">
      <c r="A35" s="24" t="s">
        <v>175</v>
      </c>
      <c r="B35" s="31">
        <f>R97/R52</f>
        <v>0.24858223062381851</v>
      </c>
      <c r="C35" s="31">
        <f>S97/S52</f>
        <v>0.96405228758169936</v>
      </c>
      <c r="D35" s="25">
        <f>C35/B35-1</f>
        <v>2.8782027386366464</v>
      </c>
      <c r="E35" s="31">
        <f>T97/U52</f>
        <v>-1.6666666666666667</v>
      </c>
      <c r="F35" s="25">
        <f>E35/C35-1</f>
        <v>-2.7288135593220337</v>
      </c>
      <c r="G35" s="31">
        <f>U97/W52</f>
        <v>0.16361256544502617</v>
      </c>
      <c r="H35" s="25">
        <f>G35/E35-1</f>
        <v>-1.0981675392670156</v>
      </c>
      <c r="I35" s="31">
        <f>V97/Y52</f>
        <v>0.2664179104477612</v>
      </c>
      <c r="J35" s="25">
        <f>I35/G35-1</f>
        <v>0.6283462686567165</v>
      </c>
      <c r="K35" s="1" t="s">
        <v>176</v>
      </c>
      <c r="L35" s="3" t="s">
        <v>177</v>
      </c>
      <c r="M35" s="26" t="s">
        <v>178</v>
      </c>
      <c r="N35" s="126" t="s">
        <v>179</v>
      </c>
      <c r="O35" s="126"/>
      <c r="P35" s="127"/>
      <c r="Q35" s="54" t="s">
        <v>180</v>
      </c>
      <c r="R35" s="59">
        <v>10469000</v>
      </c>
      <c r="S35" s="59">
        <v>11867000</v>
      </c>
      <c r="T35" s="82">
        <f t="shared" si="9"/>
        <v>0.13353710956156273</v>
      </c>
      <c r="U35" s="59">
        <v>11244000</v>
      </c>
      <c r="V35" s="82">
        <f t="shared" si="10"/>
        <v>-5.2498525322322354E-2</v>
      </c>
      <c r="W35" s="59">
        <v>11658000</v>
      </c>
      <c r="X35" s="82">
        <f t="shared" si="11"/>
        <v>3.6819637139807959E-2</v>
      </c>
      <c r="Y35" s="59">
        <v>12007000</v>
      </c>
      <c r="Z35" s="82">
        <f t="shared" si="12"/>
        <v>2.9936524275175902E-2</v>
      </c>
      <c r="AA35" s="56"/>
      <c r="AB35" s="56"/>
      <c r="AC35" s="58"/>
      <c r="AD35" s="57"/>
      <c r="AE35" s="56"/>
      <c r="AF35" s="56"/>
      <c r="AG35" s="56"/>
      <c r="AH35" s="57"/>
      <c r="AI35" s="57"/>
      <c r="AJ35" s="56"/>
      <c r="AK35" s="56"/>
      <c r="AL35" s="58"/>
      <c r="AM35" s="57"/>
      <c r="AN35" s="58"/>
      <c r="AO35" s="58"/>
    </row>
    <row r="36" spans="1:41">
      <c r="A36" s="24" t="s">
        <v>181</v>
      </c>
      <c r="B36" s="39">
        <f>R98/R96</f>
        <v>9.5004154174041823E-3</v>
      </c>
      <c r="C36" s="39">
        <f>S98/S96</f>
        <v>2.6026158494894019E-2</v>
      </c>
      <c r="D36" s="25">
        <f>C36/B36-1</f>
        <v>1.7394758388370768</v>
      </c>
      <c r="E36" s="39">
        <f>T98/T96</f>
        <v>3.7852979029449614E-3</v>
      </c>
      <c r="F36" s="25">
        <f>E36/C36-1</f>
        <v>-0.85455794777828675</v>
      </c>
      <c r="G36" s="39">
        <f>U98/U96</f>
        <v>2.917833800186741E-3</v>
      </c>
      <c r="H36" s="25">
        <f>G36/E36-1</f>
        <v>-0.22916666666666674</v>
      </c>
      <c r="I36" s="39">
        <f>V98/V96</f>
        <v>1.0356892120058718E-2</v>
      </c>
      <c r="J36" s="25">
        <f>I36/G36-1</f>
        <v>2.5495140673865242</v>
      </c>
      <c r="K36" s="1" t="s">
        <v>182</v>
      </c>
      <c r="L36" s="3" t="s">
        <v>183</v>
      </c>
      <c r="M36" s="26" t="s">
        <v>184</v>
      </c>
      <c r="N36" s="126" t="s">
        <v>185</v>
      </c>
      <c r="O36" s="126"/>
      <c r="P36" s="127"/>
      <c r="Q36" s="55" t="s">
        <v>186</v>
      </c>
      <c r="R36" s="59">
        <v>10765000</v>
      </c>
      <c r="S36" s="59">
        <v>10644000</v>
      </c>
      <c r="T36" s="82">
        <f t="shared" si="9"/>
        <v>-1.1240130051091479E-2</v>
      </c>
      <c r="U36" s="59">
        <v>10183000</v>
      </c>
      <c r="V36" s="82">
        <f t="shared" si="10"/>
        <v>-4.3310785419015452E-2</v>
      </c>
      <c r="W36" s="59">
        <v>12025000</v>
      </c>
      <c r="X36" s="82">
        <f t="shared" si="11"/>
        <v>0.18088971815771382</v>
      </c>
      <c r="Y36" s="59">
        <v>12804000</v>
      </c>
      <c r="Z36" s="82">
        <f t="shared" si="12"/>
        <v>6.4781704781704752E-2</v>
      </c>
      <c r="AA36" s="56"/>
      <c r="AB36" s="56"/>
      <c r="AC36" s="58"/>
      <c r="AD36" s="57"/>
      <c r="AE36" s="56"/>
      <c r="AF36" s="56"/>
      <c r="AG36" s="56"/>
      <c r="AH36" s="57"/>
      <c r="AI36" s="57"/>
      <c r="AJ36" s="56"/>
      <c r="AK36" s="56"/>
      <c r="AL36" s="58"/>
      <c r="AM36" s="57"/>
      <c r="AN36" s="58"/>
      <c r="AO36" s="58"/>
    </row>
    <row r="37" spans="1:41">
      <c r="A37" s="24" t="s">
        <v>187</v>
      </c>
      <c r="B37" s="28">
        <f>R52/R95</f>
        <v>11.847704367301231</v>
      </c>
      <c r="C37" s="28">
        <f>S52/S95</f>
        <v>3.4285714285714284</v>
      </c>
      <c r="D37" s="25">
        <f>C37/B37-1</f>
        <v>-0.71061301647312991</v>
      </c>
      <c r="E37" s="28">
        <f>U52/T95</f>
        <v>-0.42016806722689076</v>
      </c>
      <c r="F37" s="25">
        <f>E37/C37-1</f>
        <v>-1.1225490196078431</v>
      </c>
      <c r="G37" s="28">
        <f>W52/U95</f>
        <v>4.2801120448179271</v>
      </c>
      <c r="H37" s="25">
        <f>G37/E37-1</f>
        <v>-11.186666666666666</v>
      </c>
      <c r="I37" s="28">
        <f>Y52/V95</f>
        <v>7.5027995520716688</v>
      </c>
      <c r="J37" s="25">
        <f>I37/G37-1</f>
        <v>0.75294465974449332</v>
      </c>
      <c r="K37" s="1" t="s">
        <v>188</v>
      </c>
      <c r="L37" s="3" t="s">
        <v>189</v>
      </c>
      <c r="M37" s="26" t="s">
        <v>190</v>
      </c>
      <c r="N37" s="126" t="s">
        <v>191</v>
      </c>
      <c r="O37" s="126"/>
      <c r="P37" s="127"/>
      <c r="Q37" s="54" t="s">
        <v>192</v>
      </c>
      <c r="R37" s="59">
        <v>111000</v>
      </c>
      <c r="S37" s="59">
        <v>99000</v>
      </c>
      <c r="T37" s="82">
        <f t="shared" si="9"/>
        <v>-0.10810810810810811</v>
      </c>
      <c r="U37" s="59">
        <v>83000</v>
      </c>
      <c r="V37" s="82">
        <f t="shared" si="10"/>
        <v>-0.16161616161616166</v>
      </c>
      <c r="W37" s="59">
        <v>81000</v>
      </c>
      <c r="X37" s="82">
        <f t="shared" si="11"/>
        <v>-2.4096385542168641E-2</v>
      </c>
      <c r="Y37" s="59">
        <v>81000</v>
      </c>
      <c r="Z37" s="82">
        <f t="shared" si="12"/>
        <v>0</v>
      </c>
      <c r="AA37" s="56"/>
      <c r="AB37" s="56"/>
      <c r="AC37" s="58"/>
      <c r="AD37" s="57"/>
      <c r="AE37" s="56"/>
      <c r="AF37" s="56"/>
      <c r="AG37" s="56"/>
      <c r="AH37" s="57"/>
      <c r="AI37" s="57"/>
      <c r="AJ37" s="56"/>
      <c r="AK37" s="56"/>
      <c r="AL37" s="56"/>
      <c r="AM37" s="57"/>
      <c r="AN37" s="58"/>
      <c r="AO37" s="58"/>
    </row>
    <row r="38" spans="1:41">
      <c r="A38" s="24" t="s">
        <v>193</v>
      </c>
      <c r="B38" s="28">
        <f>R96/B37</f>
        <v>26.165406427221171</v>
      </c>
      <c r="C38" s="28">
        <f>S96/C37</f>
        <v>37.041666666666671</v>
      </c>
      <c r="D38" s="25">
        <f>C38/B38-1</f>
        <v>0.41567327722188119</v>
      </c>
      <c r="E38" s="28" t="s">
        <v>194</v>
      </c>
      <c r="F38" s="25" t="s">
        <v>194</v>
      </c>
      <c r="G38" s="28">
        <f>U96/G37</f>
        <v>56.073298429319372</v>
      </c>
      <c r="H38" s="25" t="s">
        <v>194</v>
      </c>
      <c r="I38" s="28">
        <f>V96/I37</f>
        <v>25.723731343283582</v>
      </c>
      <c r="J38" s="25">
        <f>I38/G38-1</f>
        <v>-0.54124811516646454</v>
      </c>
      <c r="K38" s="1" t="s">
        <v>195</v>
      </c>
      <c r="L38" s="3" t="s">
        <v>196</v>
      </c>
      <c r="M38" s="26" t="s">
        <v>197</v>
      </c>
      <c r="N38" s="126" t="s">
        <v>198</v>
      </c>
      <c r="O38" s="126"/>
      <c r="P38" s="127"/>
      <c r="Q38" s="54" t="s">
        <v>199</v>
      </c>
      <c r="R38" s="59">
        <v>149000</v>
      </c>
      <c r="S38" s="59">
        <v>104000</v>
      </c>
      <c r="T38" s="82">
        <f t="shared" si="9"/>
        <v>-0.30201342281879195</v>
      </c>
      <c r="U38" s="59">
        <v>71000</v>
      </c>
      <c r="V38" s="82">
        <f t="shared" si="10"/>
        <v>-0.31730769230769229</v>
      </c>
      <c r="W38" s="59">
        <v>174000</v>
      </c>
      <c r="X38" s="82">
        <f t="shared" si="11"/>
        <v>1.4507042253521125</v>
      </c>
      <c r="Y38" s="59">
        <v>41000</v>
      </c>
      <c r="Z38" s="82">
        <f t="shared" si="12"/>
        <v>-0.76436781609195403</v>
      </c>
      <c r="AA38" s="56"/>
      <c r="AB38" s="56"/>
      <c r="AC38" s="58"/>
      <c r="AD38" s="57"/>
      <c r="AE38" s="56"/>
      <c r="AF38" s="56"/>
      <c r="AG38" s="56"/>
      <c r="AH38" s="57"/>
      <c r="AI38" s="57"/>
      <c r="AJ38" s="56"/>
      <c r="AK38" s="56"/>
      <c r="AL38" s="56"/>
      <c r="AM38" s="57"/>
      <c r="AN38" s="58"/>
      <c r="AO38" s="58"/>
    </row>
    <row r="39" spans="1:41" ht="15.95" thickBot="1">
      <c r="A39" s="34" t="s">
        <v>200</v>
      </c>
      <c r="B39" s="73">
        <f>R96/(R21/R95)</f>
        <v>7.0646931223682534</v>
      </c>
      <c r="C39" s="73">
        <f>S96/(T21/S95)</f>
        <v>4.2364978508689966</v>
      </c>
      <c r="D39" s="25">
        <f>C39/B39-1</f>
        <v>-0.40032811369323551</v>
      </c>
      <c r="E39" s="73">
        <f>T96/(W21/T95)</f>
        <v>6.7050761421319791</v>
      </c>
      <c r="F39" s="25">
        <f>E39/C39-1</f>
        <v>0.58269315320356507</v>
      </c>
      <c r="G39" s="73">
        <f>U96/(Z21/U95)</f>
        <v>7.3006134969325158</v>
      </c>
      <c r="H39" s="25">
        <f>G39/E39-1</f>
        <v>8.8818880229923236E-2</v>
      </c>
      <c r="I39" s="73">
        <f>V96/(AC21/V95)</f>
        <v>5.9677631578947361</v>
      </c>
      <c r="J39" s="25">
        <f>I39/G39-1</f>
        <v>-0.18256689517912439</v>
      </c>
      <c r="K39" s="1" t="s">
        <v>172</v>
      </c>
      <c r="L39" s="3" t="s">
        <v>162</v>
      </c>
      <c r="M39" s="26" t="s">
        <v>201</v>
      </c>
      <c r="N39" s="126" t="s">
        <v>78</v>
      </c>
      <c r="O39" s="126"/>
      <c r="P39" s="127"/>
      <c r="Q39" s="54" t="s">
        <v>202</v>
      </c>
      <c r="R39" s="59">
        <v>-2082000</v>
      </c>
      <c r="S39" s="59">
        <v>-2430000</v>
      </c>
      <c r="T39" s="82">
        <f t="shared" si="9"/>
        <v>0.16714697406340062</v>
      </c>
      <c r="U39" s="59">
        <v>-2528000</v>
      </c>
      <c r="V39" s="82">
        <f t="shared" si="10"/>
        <v>4.0329218106995857E-2</v>
      </c>
      <c r="W39" s="59">
        <v>-2841000</v>
      </c>
      <c r="X39" s="82">
        <f t="shared" si="11"/>
        <v>0.12381329113924044</v>
      </c>
      <c r="Y39" s="59">
        <v>-3079000</v>
      </c>
      <c r="Z39" s="82">
        <f t="shared" si="12"/>
        <v>8.3773319253783951E-2</v>
      </c>
    </row>
    <row r="40" spans="1:41" ht="15.95" thickBot="1">
      <c r="A40" s="35" t="s">
        <v>203</v>
      </c>
      <c r="B40" s="86"/>
      <c r="C40" s="86"/>
      <c r="D40" s="87"/>
      <c r="E40" s="86"/>
      <c r="F40" s="86"/>
      <c r="G40" s="86"/>
      <c r="H40" s="86"/>
      <c r="I40" s="86"/>
      <c r="J40" s="85"/>
      <c r="K40" s="132"/>
      <c r="L40" s="133"/>
      <c r="M40" s="133"/>
      <c r="N40" s="133"/>
      <c r="O40" s="133"/>
      <c r="P40" s="134"/>
      <c r="Q40" s="54" t="s">
        <v>204</v>
      </c>
      <c r="R40" s="59">
        <v>-3943000</v>
      </c>
      <c r="S40" s="59">
        <v>-4384000</v>
      </c>
      <c r="T40" s="82">
        <f t="shared" si="9"/>
        <v>0.11184377377631249</v>
      </c>
      <c r="U40" s="59">
        <v>-4521000</v>
      </c>
      <c r="V40" s="82">
        <f t="shared" si="10"/>
        <v>3.125E-2</v>
      </c>
      <c r="W40" s="59">
        <v>-5002000</v>
      </c>
      <c r="X40" s="82">
        <f t="shared" si="11"/>
        <v>0.10639239106392395</v>
      </c>
      <c r="Y40" s="59">
        <v>-4948000</v>
      </c>
      <c r="Z40" s="82">
        <f t="shared" si="12"/>
        <v>-1.0795681727309048E-2</v>
      </c>
    </row>
    <row r="41" spans="1:41" ht="15.95" thickBot="1">
      <c r="A41" s="24" t="s">
        <v>205</v>
      </c>
      <c r="B41" s="90">
        <f>R21+R24-R10</f>
        <v>4979000</v>
      </c>
      <c r="C41" s="90">
        <f>T21+T24-T10</f>
        <v>2476000</v>
      </c>
      <c r="D41" s="25">
        <f t="shared" ref="D41:D49" si="13">C41/B41-1</f>
        <v>-0.50271138782888136</v>
      </c>
      <c r="E41" s="90">
        <f>W21+W24-W10</f>
        <v>1766000</v>
      </c>
      <c r="F41" s="25">
        <f t="shared" ref="F41:F49" si="14">E41/C41-1</f>
        <v>-0.28675282714054928</v>
      </c>
      <c r="G41" s="90">
        <f>Z21+Z24-Z10</f>
        <v>2311000</v>
      </c>
      <c r="H41" s="25">
        <f t="shared" ref="H41:H49" si="15">G41/E41-1</f>
        <v>0.30860702151755381</v>
      </c>
      <c r="I41" s="90">
        <f>AC21+AC24-AC10</f>
        <v>2533000</v>
      </c>
      <c r="J41" s="25">
        <f t="shared" ref="J41:J49" si="16">I41/G41-1</f>
        <v>9.6062310688013852E-2</v>
      </c>
      <c r="K41" s="135"/>
      <c r="L41" s="136"/>
      <c r="M41" s="136"/>
      <c r="N41" s="136"/>
      <c r="O41" s="136"/>
      <c r="P41" s="137"/>
      <c r="Q41" s="54" t="s">
        <v>206</v>
      </c>
      <c r="R41" s="59">
        <v>-1474000</v>
      </c>
      <c r="S41" s="59">
        <v>-1651000</v>
      </c>
      <c r="T41" s="82">
        <f t="shared" si="9"/>
        <v>0.1200814111261872</v>
      </c>
      <c r="U41" s="59">
        <v>-1839000</v>
      </c>
      <c r="V41" s="82">
        <f t="shared" si="10"/>
        <v>0.11387038158691709</v>
      </c>
      <c r="W41" s="59">
        <v>-2138000</v>
      </c>
      <c r="X41" s="82">
        <f t="shared" si="11"/>
        <v>0.16258836324089176</v>
      </c>
      <c r="Y41" s="59">
        <v>-1885000</v>
      </c>
      <c r="Z41" s="82">
        <f t="shared" si="12"/>
        <v>-0.11833489242282502</v>
      </c>
    </row>
    <row r="42" spans="1:41">
      <c r="A42" s="24" t="s">
        <v>207</v>
      </c>
      <c r="B42" s="90">
        <f>R15-R14-R29+R27</f>
        <v>1753000</v>
      </c>
      <c r="C42" s="90">
        <f>T15-T14-T29+T27</f>
        <v>2847000</v>
      </c>
      <c r="D42" s="25">
        <f t="shared" si="13"/>
        <v>0.62407301768397039</v>
      </c>
      <c r="E42" s="90">
        <f>W15-W14-W29+W27</f>
        <v>1640000</v>
      </c>
      <c r="F42" s="25">
        <f t="shared" si="14"/>
        <v>-0.4239550403933966</v>
      </c>
      <c r="G42" s="90">
        <f>Z15-Z14-Z29+Z27</f>
        <v>1358000</v>
      </c>
      <c r="H42" s="25">
        <f t="shared" si="15"/>
        <v>-0.17195121951219516</v>
      </c>
      <c r="I42" s="90">
        <f>AC15-AC14-AC29+AC27</f>
        <v>2514000</v>
      </c>
      <c r="J42" s="25">
        <f t="shared" si="16"/>
        <v>0.85125184094256268</v>
      </c>
      <c r="K42" s="139" t="s">
        <v>189</v>
      </c>
      <c r="L42" s="139"/>
      <c r="M42" s="36">
        <f>0</f>
        <v>0</v>
      </c>
      <c r="N42" s="126" t="s">
        <v>190</v>
      </c>
      <c r="O42" s="126"/>
      <c r="P42" s="127"/>
      <c r="Q42" s="89" t="s">
        <v>39</v>
      </c>
      <c r="R42" s="60">
        <v>3066000</v>
      </c>
      <c r="S42" s="88">
        <v>1874000</v>
      </c>
      <c r="T42" s="82">
        <f t="shared" si="9"/>
        <v>-0.38878016960208739</v>
      </c>
      <c r="U42" s="88">
        <v>1358000</v>
      </c>
      <c r="V42" s="82">
        <f t="shared" si="10"/>
        <v>-0.27534685165421557</v>
      </c>
      <c r="W42" s="88">
        <v>2465000</v>
      </c>
      <c r="X42" s="82">
        <f t="shared" si="11"/>
        <v>0.81516936671575846</v>
      </c>
      <c r="Y42" s="60">
        <v>3124000</v>
      </c>
      <c r="Z42" s="82">
        <f t="shared" si="12"/>
        <v>0.26734279918864101</v>
      </c>
    </row>
    <row r="43" spans="1:41">
      <c r="A43" s="24" t="s">
        <v>208</v>
      </c>
      <c r="B43" s="90">
        <f>B41-B42</f>
        <v>3226000</v>
      </c>
      <c r="C43" s="90">
        <f>C41-C42</f>
        <v>-371000</v>
      </c>
      <c r="D43" s="25">
        <f t="shared" si="13"/>
        <v>-1.1150030998140112</v>
      </c>
      <c r="E43" s="90">
        <f>E41-E42</f>
        <v>126000</v>
      </c>
      <c r="F43" s="25">
        <f t="shared" si="14"/>
        <v>-1.3396226415094339</v>
      </c>
      <c r="G43" s="90">
        <f>G41-G42</f>
        <v>953000</v>
      </c>
      <c r="H43" s="25">
        <f t="shared" si="15"/>
        <v>6.5634920634920633</v>
      </c>
      <c r="I43" s="90">
        <f>I41-I42</f>
        <v>19000</v>
      </c>
      <c r="J43" s="25">
        <f t="shared" si="16"/>
        <v>-0.98006295907660024</v>
      </c>
      <c r="K43" s="139" t="s">
        <v>190</v>
      </c>
      <c r="L43" s="139"/>
      <c r="M43" s="36">
        <f>0</f>
        <v>0</v>
      </c>
      <c r="N43" s="126" t="s">
        <v>189</v>
      </c>
      <c r="O43" s="126"/>
      <c r="P43" s="127"/>
      <c r="Q43" s="54" t="s">
        <v>209</v>
      </c>
      <c r="R43" s="59">
        <v>-1115000</v>
      </c>
      <c r="S43" s="59">
        <v>-1371000</v>
      </c>
      <c r="T43" s="82">
        <f t="shared" si="9"/>
        <v>0.2295964125560539</v>
      </c>
      <c r="U43" s="59">
        <v>-1170000</v>
      </c>
      <c r="V43" s="82">
        <f t="shared" si="10"/>
        <v>-0.14660831509846828</v>
      </c>
      <c r="W43" s="59">
        <v>-1180000</v>
      </c>
      <c r="X43" s="82">
        <f t="shared" si="11"/>
        <v>8.5470085470085166E-3</v>
      </c>
      <c r="Y43" s="59">
        <v>-1135000</v>
      </c>
      <c r="Z43" s="82">
        <f t="shared" si="12"/>
        <v>-3.8135593220338992E-2</v>
      </c>
    </row>
    <row r="44" spans="1:41" ht="15.95" thickBot="1">
      <c r="A44" s="24" t="s">
        <v>210</v>
      </c>
      <c r="B44" s="90">
        <f>R10+B42</f>
        <v>9946000</v>
      </c>
      <c r="C44" s="91">
        <v>10.109</v>
      </c>
      <c r="D44" s="25">
        <f t="shared" si="13"/>
        <v>-0.99999898361150208</v>
      </c>
      <c r="E44" s="91">
        <v>9.8510000000000009</v>
      </c>
      <c r="F44" s="25">
        <f t="shared" si="14"/>
        <v>-2.5521812246512954E-2</v>
      </c>
      <c r="G44" s="91">
        <v>11.41</v>
      </c>
      <c r="H44" s="25">
        <f t="shared" si="15"/>
        <v>0.15825804486854111</v>
      </c>
      <c r="I44" s="91">
        <v>9.9459999999999997</v>
      </c>
      <c r="J44" s="25">
        <f t="shared" si="16"/>
        <v>-0.12830850131463634</v>
      </c>
      <c r="K44" s="139" t="s">
        <v>189</v>
      </c>
      <c r="L44" s="139"/>
      <c r="M44" s="36">
        <f>0</f>
        <v>0</v>
      </c>
      <c r="N44" s="126" t="s">
        <v>190</v>
      </c>
      <c r="O44" s="126"/>
      <c r="P44" s="127"/>
      <c r="Q44" s="55" t="s">
        <v>211</v>
      </c>
      <c r="R44" s="60">
        <v>1989000</v>
      </c>
      <c r="S44" s="88">
        <v>669000</v>
      </c>
      <c r="T44" s="82">
        <f t="shared" si="9"/>
        <v>-0.66365007541478127</v>
      </c>
      <c r="U44" s="88">
        <v>268000</v>
      </c>
      <c r="V44" s="82">
        <f t="shared" si="10"/>
        <v>-0.59940209267563527</v>
      </c>
      <c r="W44" s="88">
        <v>1337000</v>
      </c>
      <c r="X44" s="82">
        <f t="shared" si="11"/>
        <v>3.9888059701492535</v>
      </c>
      <c r="Y44" s="60">
        <v>2060000</v>
      </c>
      <c r="Z44" s="82">
        <f t="shared" si="12"/>
        <v>0.54076290201944643</v>
      </c>
    </row>
    <row r="45" spans="1:41">
      <c r="A45" s="24" t="s">
        <v>212</v>
      </c>
      <c r="B45" s="90">
        <f>R24-R14+R27+R21</f>
        <v>9946000</v>
      </c>
      <c r="C45" s="91">
        <v>10.109</v>
      </c>
      <c r="D45" s="25">
        <f t="shared" si="13"/>
        <v>-0.99999898361150208</v>
      </c>
      <c r="E45" s="91">
        <v>9.8510000000000009</v>
      </c>
      <c r="F45" s="25">
        <f t="shared" si="14"/>
        <v>-2.5521812246512954E-2</v>
      </c>
      <c r="G45" s="91">
        <v>11.411</v>
      </c>
      <c r="H45" s="25">
        <f t="shared" si="15"/>
        <v>0.15835955740533936</v>
      </c>
      <c r="I45" s="91">
        <v>9.9459999999999997</v>
      </c>
      <c r="J45" s="25">
        <f t="shared" si="16"/>
        <v>-0.12838489177109802</v>
      </c>
      <c r="K45" s="132"/>
      <c r="L45" s="133"/>
      <c r="M45" s="133"/>
      <c r="N45" s="133"/>
      <c r="O45" s="133"/>
      <c r="P45" s="134"/>
      <c r="Q45" s="54" t="s">
        <v>213</v>
      </c>
      <c r="R45" s="59">
        <v>76000</v>
      </c>
      <c r="S45" s="59">
        <v>109000</v>
      </c>
      <c r="T45" s="82">
        <f t="shared" si="9"/>
        <v>0.43421052631578938</v>
      </c>
      <c r="U45" s="59">
        <v>127000</v>
      </c>
      <c r="V45" s="82">
        <f t="shared" si="10"/>
        <v>0.16513761467889898</v>
      </c>
      <c r="W45" s="59">
        <v>102000</v>
      </c>
      <c r="X45" s="82">
        <f t="shared" si="11"/>
        <v>-0.19685039370078738</v>
      </c>
      <c r="Y45" s="59">
        <v>131000</v>
      </c>
      <c r="Z45" s="82">
        <f t="shared" si="12"/>
        <v>0.28431372549019618</v>
      </c>
    </row>
    <row r="46" spans="1:41" ht="15.95" thickBot="1">
      <c r="A46" s="24" t="s">
        <v>214</v>
      </c>
      <c r="B46" s="90">
        <f>R24-R14+R27</f>
        <v>2109000</v>
      </c>
      <c r="C46" s="90">
        <f>T24-T14+T27</f>
        <v>6060000</v>
      </c>
      <c r="D46" s="25">
        <f t="shared" si="13"/>
        <v>1.8733997155049789</v>
      </c>
      <c r="E46" s="90">
        <f>W24-W14+W27</f>
        <v>4926000</v>
      </c>
      <c r="F46" s="25">
        <f t="shared" si="14"/>
        <v>-0.18712871287128718</v>
      </c>
      <c r="G46" s="90">
        <f>Z24-Z14+Z27</f>
        <v>4241000</v>
      </c>
      <c r="H46" s="25">
        <f t="shared" si="15"/>
        <v>-0.13905805927730408</v>
      </c>
      <c r="I46" s="90">
        <f>AC24-AC14+AC27</f>
        <v>4674000</v>
      </c>
      <c r="J46" s="25">
        <f t="shared" si="16"/>
        <v>0.10209856165998588</v>
      </c>
      <c r="K46" s="135"/>
      <c r="L46" s="136"/>
      <c r="M46" s="136"/>
      <c r="N46" s="136"/>
      <c r="O46" s="136"/>
      <c r="P46" s="137"/>
      <c r="Q46" s="54" t="s">
        <v>215</v>
      </c>
      <c r="R46" s="59">
        <v>-172000</v>
      </c>
      <c r="S46" s="59">
        <v>-224000</v>
      </c>
      <c r="T46" s="82">
        <f t="shared" si="9"/>
        <v>0.30232558139534893</v>
      </c>
      <c r="U46" s="59">
        <v>-210000</v>
      </c>
      <c r="V46" s="82">
        <f t="shared" si="10"/>
        <v>-6.25E-2</v>
      </c>
      <c r="W46" s="59">
        <v>-224000</v>
      </c>
      <c r="X46" s="82">
        <f t="shared" si="11"/>
        <v>6.6666666666666652E-2</v>
      </c>
      <c r="Y46" s="59">
        <v>-289000</v>
      </c>
      <c r="Z46" s="82">
        <f t="shared" si="12"/>
        <v>0.2901785714285714</v>
      </c>
    </row>
    <row r="47" spans="1:41">
      <c r="A47" s="24" t="s">
        <v>216</v>
      </c>
      <c r="B47" s="90">
        <f>R95*R96+B46</f>
        <v>57475000</v>
      </c>
      <c r="C47" s="90">
        <f>S95*S96+C46</f>
        <v>28729500</v>
      </c>
      <c r="D47" s="25">
        <f t="shared" si="13"/>
        <v>-0.50013919095258808</v>
      </c>
      <c r="E47" s="90">
        <f>T95*T96+E46</f>
        <v>37948500</v>
      </c>
      <c r="F47" s="25">
        <f t="shared" si="14"/>
        <v>0.32088967785725475</v>
      </c>
      <c r="G47" s="90">
        <f>U95*U96+G46</f>
        <v>47081000</v>
      </c>
      <c r="H47" s="25">
        <f t="shared" si="15"/>
        <v>0.24065509835698373</v>
      </c>
      <c r="I47" s="90">
        <f>V95*V96+I46</f>
        <v>39143800</v>
      </c>
      <c r="J47" s="25">
        <f t="shared" si="16"/>
        <v>-0.16858605382213632</v>
      </c>
      <c r="K47" s="126" t="s">
        <v>217</v>
      </c>
      <c r="L47" s="126"/>
      <c r="M47" s="126"/>
      <c r="N47" s="126"/>
      <c r="O47" s="126"/>
      <c r="P47" s="126"/>
      <c r="Q47" s="55" t="s">
        <v>218</v>
      </c>
      <c r="R47" s="59">
        <v>-96000</v>
      </c>
      <c r="S47" s="59">
        <v>-115000</v>
      </c>
      <c r="T47" s="82">
        <f t="shared" si="9"/>
        <v>0.19791666666666674</v>
      </c>
      <c r="U47" s="59">
        <v>-83000</v>
      </c>
      <c r="V47" s="82">
        <f t="shared" si="10"/>
        <v>-0.27826086956521734</v>
      </c>
      <c r="W47" s="59">
        <v>-122000</v>
      </c>
      <c r="X47" s="82">
        <f t="shared" si="11"/>
        <v>0.46987951807228923</v>
      </c>
      <c r="Y47" s="59">
        <v>-158000</v>
      </c>
      <c r="Z47" s="82">
        <f t="shared" si="12"/>
        <v>0.29508196721311486</v>
      </c>
    </row>
    <row r="48" spans="1:41">
      <c r="A48" s="24" t="s">
        <v>59</v>
      </c>
      <c r="B48" s="91">
        <f>B47/R42</f>
        <v>18.745923026744943</v>
      </c>
      <c r="C48" s="91">
        <f>C47/S42</f>
        <v>15.330576307363927</v>
      </c>
      <c r="D48" s="25">
        <f t="shared" si="13"/>
        <v>-0.18219144048059499</v>
      </c>
      <c r="E48" s="91">
        <f>E47/U42</f>
        <v>27.944403534609719</v>
      </c>
      <c r="F48" s="25">
        <f t="shared" si="14"/>
        <v>0.82278884853055634</v>
      </c>
      <c r="G48" s="91">
        <f>G47/W42</f>
        <v>19.099797160243408</v>
      </c>
      <c r="H48" s="25">
        <f t="shared" si="15"/>
        <v>-0.31650725210191311</v>
      </c>
      <c r="I48" s="91">
        <f>I47/Y42</f>
        <v>12.530025608194622</v>
      </c>
      <c r="J48" s="25">
        <f t="shared" si="16"/>
        <v>-0.34397074989486753</v>
      </c>
      <c r="K48" s="126" t="s">
        <v>219</v>
      </c>
      <c r="L48" s="126"/>
      <c r="M48" s="126"/>
      <c r="N48" s="126"/>
      <c r="O48" s="126"/>
      <c r="P48" s="126"/>
      <c r="Q48" s="55" t="s">
        <v>220</v>
      </c>
      <c r="R48" s="60">
        <v>1813000</v>
      </c>
      <c r="S48" s="88">
        <v>388000</v>
      </c>
      <c r="T48" s="82">
        <f t="shared" si="9"/>
        <v>-0.78599007170435742</v>
      </c>
      <c r="U48" s="88">
        <v>65000</v>
      </c>
      <c r="V48" s="82">
        <f t="shared" si="10"/>
        <v>-0.83247422680412375</v>
      </c>
      <c r="W48" s="88">
        <v>1121000</v>
      </c>
      <c r="X48" s="82">
        <f t="shared" si="11"/>
        <v>16.246153846153845</v>
      </c>
      <c r="Y48" s="60">
        <v>1820000</v>
      </c>
      <c r="Z48" s="82">
        <f t="shared" si="12"/>
        <v>0.62355040142729701</v>
      </c>
    </row>
    <row r="49" spans="1:33" ht="15.95" thickBot="1">
      <c r="A49" s="34" t="s">
        <v>221</v>
      </c>
      <c r="B49" s="92">
        <f>B46/R42</f>
        <v>0.68786692759295498</v>
      </c>
      <c r="C49" s="92">
        <f>C46/S42</f>
        <v>3.2337246531483457</v>
      </c>
      <c r="D49" s="25">
        <f t="shared" si="13"/>
        <v>3.7010904630406962</v>
      </c>
      <c r="E49" s="92">
        <f>E46/U42</f>
        <v>3.6273932253313697</v>
      </c>
      <c r="F49" s="25">
        <f t="shared" si="14"/>
        <v>0.12173843304801757</v>
      </c>
      <c r="G49" s="92">
        <f>G46/W42</f>
        <v>1.7204868154158215</v>
      </c>
      <c r="H49" s="25">
        <f t="shared" si="15"/>
        <v>-0.52569608296088388</v>
      </c>
      <c r="I49" s="92">
        <f>I46/Y42</f>
        <v>1.4961587708066582</v>
      </c>
      <c r="J49" s="25">
        <f t="shared" si="16"/>
        <v>-0.13038637820362831</v>
      </c>
      <c r="K49" s="139" t="s">
        <v>222</v>
      </c>
      <c r="L49" s="139"/>
      <c r="M49" s="36" t="s">
        <v>223</v>
      </c>
      <c r="N49" s="138" t="s">
        <v>167</v>
      </c>
      <c r="O49" s="138"/>
      <c r="P49" s="138"/>
      <c r="Q49" s="54" t="s">
        <v>224</v>
      </c>
      <c r="R49" s="59">
        <v>-471000</v>
      </c>
      <c r="S49" s="59">
        <v>-134000</v>
      </c>
      <c r="T49" s="82">
        <f t="shared" si="9"/>
        <v>-0.7154989384288748</v>
      </c>
      <c r="U49" s="59">
        <v>-124000</v>
      </c>
      <c r="V49" s="82">
        <f t="shared" si="10"/>
        <v>-7.4626865671641784E-2</v>
      </c>
      <c r="W49" s="59">
        <v>-297000</v>
      </c>
      <c r="X49" s="82">
        <f t="shared" si="11"/>
        <v>1.3951612903225805</v>
      </c>
      <c r="Y49" s="59">
        <v>-443000</v>
      </c>
      <c r="Z49" s="82">
        <f t="shared" si="12"/>
        <v>0.49158249158249157</v>
      </c>
    </row>
    <row r="50" spans="1:33">
      <c r="J50" s="93"/>
      <c r="K50" s="1" t="s">
        <v>170</v>
      </c>
      <c r="L50" s="3" t="s">
        <v>171</v>
      </c>
      <c r="M50" s="26" t="s">
        <v>77</v>
      </c>
      <c r="N50" s="138" t="s">
        <v>225</v>
      </c>
      <c r="O50" s="138"/>
      <c r="P50" s="138"/>
      <c r="Q50" s="54" t="s">
        <v>226</v>
      </c>
      <c r="R50" s="59">
        <v>1342000</v>
      </c>
      <c r="S50" s="59">
        <v>254000</v>
      </c>
      <c r="T50" s="82">
        <f t="shared" si="9"/>
        <v>-0.81073025335320414</v>
      </c>
      <c r="U50" s="59">
        <v>-58000</v>
      </c>
      <c r="V50" s="82">
        <f t="shared" si="10"/>
        <v>-1.2283464566929134</v>
      </c>
      <c r="W50" s="59">
        <v>824000</v>
      </c>
      <c r="X50" s="82">
        <f t="shared" si="11"/>
        <v>-15.206896551724139</v>
      </c>
      <c r="Y50" s="59">
        <v>1377000</v>
      </c>
      <c r="Z50" s="82">
        <f t="shared" si="12"/>
        <v>0.67111650485436902</v>
      </c>
    </row>
    <row r="51" spans="1:33" ht="15.95">
      <c r="B51" s="40"/>
      <c r="C51" s="40"/>
      <c r="D51" s="40"/>
      <c r="E51" s="40"/>
      <c r="F51" s="40"/>
      <c r="G51" s="40"/>
      <c r="H51" s="40"/>
      <c r="I51" s="40"/>
      <c r="Q51" s="54" t="s">
        <v>227</v>
      </c>
      <c r="R51" s="59">
        <v>774000</v>
      </c>
      <c r="S51" s="59">
        <v>370000</v>
      </c>
      <c r="T51" s="82">
        <f t="shared" si="9"/>
        <v>-0.52196382428940569</v>
      </c>
      <c r="U51" s="59" t="s">
        <v>228</v>
      </c>
      <c r="V51" s="82" t="str">
        <f t="shared" si="10"/>
        <v>N/A</v>
      </c>
      <c r="W51" s="59" t="s">
        <v>228</v>
      </c>
      <c r="X51" s="82" t="str">
        <f t="shared" si="11"/>
        <v>N/A</v>
      </c>
      <c r="Y51" s="59" t="s">
        <v>228</v>
      </c>
      <c r="Z51" s="82" t="str">
        <f t="shared" si="12"/>
        <v>N/A</v>
      </c>
    </row>
    <row r="52" spans="1:33" ht="15.95">
      <c r="B52" s="41"/>
      <c r="C52" s="41"/>
      <c r="D52" s="41"/>
      <c r="E52" s="41"/>
      <c r="F52" s="41"/>
      <c r="G52" s="41"/>
      <c r="H52" s="41"/>
      <c r="I52" s="41"/>
      <c r="J52" s="40"/>
      <c r="Q52" s="55" t="s">
        <v>229</v>
      </c>
      <c r="R52" s="60">
        <v>2116000</v>
      </c>
      <c r="S52" s="88">
        <v>612000</v>
      </c>
      <c r="T52" s="82">
        <f t="shared" si="9"/>
        <v>-0.71077504725897922</v>
      </c>
      <c r="U52" s="88">
        <v>-75000</v>
      </c>
      <c r="V52" s="82">
        <f t="shared" si="10"/>
        <v>-1.1225490196078431</v>
      </c>
      <c r="W52" s="88">
        <v>764000</v>
      </c>
      <c r="X52" s="82">
        <f t="shared" si="11"/>
        <v>-11.186666666666667</v>
      </c>
      <c r="Y52" s="60">
        <v>1340000</v>
      </c>
      <c r="Z52" s="82">
        <f t="shared" si="12"/>
        <v>0.75392670157068054</v>
      </c>
    </row>
    <row r="53" spans="1:33" ht="15.95">
      <c r="B53" s="41"/>
      <c r="C53" s="41"/>
      <c r="D53" s="41"/>
      <c r="E53" s="41"/>
      <c r="F53" s="41"/>
      <c r="G53" s="41"/>
      <c r="H53" s="41"/>
      <c r="I53" s="41"/>
      <c r="J53" s="41"/>
      <c r="Q53" s="54"/>
      <c r="R53" s="59"/>
      <c r="S53" s="59"/>
      <c r="T53" s="82"/>
      <c r="U53" s="59"/>
      <c r="V53" s="59"/>
      <c r="W53" s="59"/>
      <c r="X53" s="59"/>
      <c r="Y53" s="59"/>
      <c r="Z53" s="59"/>
      <c r="AA53" s="59"/>
      <c r="AB53" s="59"/>
      <c r="AC53" s="59"/>
      <c r="AD53" s="59"/>
      <c r="AE53" s="59"/>
    </row>
    <row r="54" spans="1:33" ht="15.95">
      <c r="B54" s="41"/>
      <c r="C54" s="41"/>
      <c r="D54" s="41"/>
      <c r="E54" s="41"/>
      <c r="F54" s="41"/>
      <c r="G54" s="41"/>
      <c r="H54" s="41"/>
      <c r="I54" s="41"/>
      <c r="J54" s="41"/>
      <c r="Q54" s="54"/>
      <c r="R54" s="59"/>
      <c r="S54" s="59"/>
      <c r="T54" s="59"/>
      <c r="U54" s="59"/>
      <c r="V54" s="59"/>
      <c r="W54" s="59"/>
      <c r="X54" s="59"/>
      <c r="Y54" s="59"/>
      <c r="Z54" s="59"/>
      <c r="AA54" s="59"/>
      <c r="AB54" s="59"/>
      <c r="AC54" s="59"/>
      <c r="AD54" s="59"/>
      <c r="AE54" s="59"/>
    </row>
    <row r="55" spans="1:33" ht="15.95">
      <c r="B55" s="40"/>
      <c r="C55" s="40"/>
      <c r="D55" s="40"/>
      <c r="E55" s="40"/>
      <c r="F55" s="40"/>
      <c r="G55" s="40"/>
      <c r="H55" s="40"/>
      <c r="I55" s="40"/>
      <c r="J55" s="41"/>
    </row>
    <row r="56" spans="1:33" ht="17.100000000000001" thickBot="1">
      <c r="B56" s="40"/>
      <c r="C56" s="40"/>
      <c r="D56" s="40"/>
      <c r="E56" s="40"/>
      <c r="F56" s="40"/>
      <c r="G56" s="40"/>
      <c r="H56" s="40"/>
      <c r="I56" s="40"/>
      <c r="J56" s="40"/>
    </row>
    <row r="57" spans="1:33" ht="15.95">
      <c r="J57" s="40"/>
      <c r="Q57" s="119" t="s">
        <v>230</v>
      </c>
      <c r="R57" s="114">
        <v>2021</v>
      </c>
      <c r="S57" s="114">
        <v>2022</v>
      </c>
      <c r="T57" s="114" t="s">
        <v>61</v>
      </c>
      <c r="U57" s="114">
        <v>2023</v>
      </c>
      <c r="V57" s="114" t="s">
        <v>61</v>
      </c>
      <c r="W57" s="114">
        <v>2024</v>
      </c>
      <c r="X57" s="114" t="s">
        <v>61</v>
      </c>
      <c r="Y57" s="114">
        <v>2025</v>
      </c>
      <c r="Z57" s="114" t="s">
        <v>61</v>
      </c>
    </row>
    <row r="58" spans="1:33" ht="15.95" thickBot="1">
      <c r="Q58" s="120"/>
      <c r="R58" s="115"/>
      <c r="S58" s="115"/>
      <c r="T58" s="115"/>
      <c r="U58" s="115"/>
      <c r="V58" s="115"/>
      <c r="W58" s="115"/>
      <c r="X58" s="115"/>
      <c r="Y58" s="115"/>
      <c r="Z58" s="115"/>
    </row>
    <row r="59" spans="1:33">
      <c r="Q59" s="62" t="s">
        <v>231</v>
      </c>
      <c r="AF59" t="s">
        <v>232</v>
      </c>
    </row>
    <row r="60" spans="1:33">
      <c r="Q60" s="54" t="s">
        <v>233</v>
      </c>
      <c r="R60" s="59">
        <v>2116000</v>
      </c>
      <c r="S60" s="59">
        <v>612000</v>
      </c>
      <c r="T60" s="82">
        <f t="shared" ref="T60:T68" si="17">IFERROR(S60/R60-1,"N/A")</f>
        <v>-0.71077504725897922</v>
      </c>
      <c r="U60" s="59">
        <v>-75000</v>
      </c>
      <c r="V60" s="82">
        <f t="shared" ref="V60:V68" si="18">IFERROR(U60/S60-1,"N/A")</f>
        <v>-1.1225490196078431</v>
      </c>
      <c r="W60" s="59">
        <v>764000</v>
      </c>
      <c r="X60" s="82">
        <f t="shared" ref="X60:X68" si="19">IFERROR(W60/U60-1,"N/A")</f>
        <v>-11.186666666666667</v>
      </c>
      <c r="Y60" s="59">
        <v>1340000</v>
      </c>
      <c r="Z60" s="82">
        <f t="shared" ref="Z60:Z68" si="20">IFERROR(Y60/W60-1,"N/A")</f>
        <v>0.75392670157068054</v>
      </c>
      <c r="AF60" s="63" t="s">
        <v>234</v>
      </c>
      <c r="AG60" s="63" t="s">
        <v>235</v>
      </c>
    </row>
    <row r="61" spans="1:33" ht="17.100000000000001">
      <c r="G61" t="s">
        <v>236</v>
      </c>
      <c r="Q61" s="54" t="s">
        <v>209</v>
      </c>
      <c r="R61" s="59">
        <v>1115000</v>
      </c>
      <c r="S61" s="59">
        <v>1371000</v>
      </c>
      <c r="T61" s="82">
        <f t="shared" si="17"/>
        <v>0.2295964125560539</v>
      </c>
      <c r="U61" s="59">
        <v>1170000</v>
      </c>
      <c r="V61" s="82">
        <f t="shared" si="18"/>
        <v>-0.14660831509846828</v>
      </c>
      <c r="W61" s="59">
        <v>1180000</v>
      </c>
      <c r="X61" s="82">
        <f t="shared" si="19"/>
        <v>8.5470085470085166E-3</v>
      </c>
      <c r="Y61" s="59">
        <v>1135000</v>
      </c>
      <c r="Z61" s="82">
        <f t="shared" si="20"/>
        <v>-3.8135593220338992E-2</v>
      </c>
      <c r="AF61" s="64" t="s">
        <v>237</v>
      </c>
      <c r="AG61" s="64"/>
    </row>
    <row r="62" spans="1:33">
      <c r="Q62" s="54" t="s">
        <v>238</v>
      </c>
      <c r="R62" s="59" t="s">
        <v>228</v>
      </c>
      <c r="S62" s="59" t="s">
        <v>228</v>
      </c>
      <c r="T62" s="82" t="str">
        <f t="shared" si="17"/>
        <v>N/A</v>
      </c>
      <c r="U62" s="59" t="s">
        <v>228</v>
      </c>
      <c r="V62" s="82" t="str">
        <f t="shared" si="18"/>
        <v>N/A</v>
      </c>
      <c r="W62" s="59" t="s">
        <v>228</v>
      </c>
      <c r="X62" s="82" t="str">
        <f t="shared" si="19"/>
        <v>N/A</v>
      </c>
      <c r="Y62" s="59" t="s">
        <v>228</v>
      </c>
      <c r="Z62" s="82" t="str">
        <f t="shared" si="20"/>
        <v>N/A</v>
      </c>
      <c r="AF62" s="65" t="s">
        <v>239</v>
      </c>
      <c r="AG62" s="65">
        <v>0</v>
      </c>
    </row>
    <row r="63" spans="1:33">
      <c r="Q63" s="54" t="s">
        <v>240</v>
      </c>
      <c r="R63" s="59">
        <v>-738000</v>
      </c>
      <c r="S63" s="59">
        <v>-1964000</v>
      </c>
      <c r="T63" s="82">
        <f t="shared" si="17"/>
        <v>1.6612466124661247</v>
      </c>
      <c r="U63" s="59">
        <v>1497000</v>
      </c>
      <c r="V63" s="82">
        <f t="shared" si="18"/>
        <v>-1.7622199592668024</v>
      </c>
      <c r="W63" s="59">
        <v>627000</v>
      </c>
      <c r="X63" s="82">
        <f t="shared" si="19"/>
        <v>-0.58116232464929862</v>
      </c>
      <c r="Y63" s="59">
        <v>-470000</v>
      </c>
      <c r="Z63" s="82">
        <f t="shared" si="20"/>
        <v>-1.7496012759170654</v>
      </c>
      <c r="AF63" s="65" t="s">
        <v>241</v>
      </c>
      <c r="AG63" s="65">
        <v>0</v>
      </c>
    </row>
    <row r="64" spans="1:33" ht="17.100000000000001">
      <c r="Q64" s="54" t="s">
        <v>242</v>
      </c>
      <c r="R64" s="59">
        <v>-406000</v>
      </c>
      <c r="S64" s="59">
        <v>1153000</v>
      </c>
      <c r="T64" s="82">
        <f t="shared" si="17"/>
        <v>-3.8399014778325125</v>
      </c>
      <c r="U64" s="59">
        <v>1153000</v>
      </c>
      <c r="V64" s="82">
        <f t="shared" si="18"/>
        <v>0</v>
      </c>
      <c r="W64" s="59">
        <v>-248000</v>
      </c>
      <c r="X64" s="82">
        <f t="shared" si="19"/>
        <v>-1.2150910667823069</v>
      </c>
      <c r="Y64" s="59">
        <v>-242000</v>
      </c>
      <c r="Z64" s="82">
        <f t="shared" si="20"/>
        <v>-2.4193548387096753E-2</v>
      </c>
      <c r="AF64" s="64" t="s">
        <v>243</v>
      </c>
      <c r="AG64" s="64">
        <f>AG62+AG63</f>
        <v>0</v>
      </c>
    </row>
    <row r="65" spans="17:33">
      <c r="Q65" s="54" t="s">
        <v>244</v>
      </c>
      <c r="R65" s="59">
        <v>1136000</v>
      </c>
      <c r="S65" s="59">
        <v>-2054000</v>
      </c>
      <c r="T65" s="82">
        <f t="shared" si="17"/>
        <v>-2.808098591549296</v>
      </c>
      <c r="U65" s="59">
        <v>-1148000</v>
      </c>
      <c r="V65" s="82">
        <f t="shared" si="18"/>
        <v>-0.4410905550146057</v>
      </c>
      <c r="W65" s="59">
        <v>640000</v>
      </c>
      <c r="X65" s="82">
        <f t="shared" si="19"/>
        <v>-1.5574912891986061</v>
      </c>
      <c r="Y65" s="59">
        <v>100000</v>
      </c>
      <c r="Z65" s="82">
        <f t="shared" si="20"/>
        <v>-0.84375</v>
      </c>
      <c r="AF65" s="66" t="s">
        <v>245</v>
      </c>
      <c r="AG65" s="66">
        <f>AG64+AG61</f>
        <v>0</v>
      </c>
    </row>
    <row r="66" spans="17:33">
      <c r="Q66" s="54" t="s">
        <v>246</v>
      </c>
      <c r="R66" s="59">
        <v>-555000</v>
      </c>
      <c r="S66" s="59">
        <v>-423000</v>
      </c>
      <c r="T66" s="82">
        <f t="shared" si="17"/>
        <v>-0.23783783783783785</v>
      </c>
      <c r="U66" s="59">
        <v>-297000</v>
      </c>
      <c r="V66" s="82">
        <f t="shared" si="18"/>
        <v>-0.2978723404255319</v>
      </c>
      <c r="W66" s="59">
        <v>-394000</v>
      </c>
      <c r="X66" s="82">
        <f t="shared" si="19"/>
        <v>0.32659932659932656</v>
      </c>
      <c r="Y66" s="59">
        <v>-352000</v>
      </c>
      <c r="Z66" s="82">
        <f t="shared" si="20"/>
        <v>-0.10659898477157359</v>
      </c>
      <c r="AF66" s="65" t="s">
        <v>247</v>
      </c>
      <c r="AG66" s="65">
        <v>0</v>
      </c>
    </row>
    <row r="67" spans="17:33">
      <c r="Q67" s="54" t="s">
        <v>248</v>
      </c>
      <c r="R67" s="59">
        <v>524000</v>
      </c>
      <c r="S67" s="59">
        <v>-1224000</v>
      </c>
      <c r="T67" s="82">
        <f t="shared" si="17"/>
        <v>-3.33587786259542</v>
      </c>
      <c r="U67" s="59">
        <v>250000</v>
      </c>
      <c r="V67" s="82">
        <f t="shared" si="18"/>
        <v>-1.2042483660130718</v>
      </c>
      <c r="W67" s="59">
        <v>341000</v>
      </c>
      <c r="X67" s="82">
        <f t="shared" si="19"/>
        <v>0.3640000000000001</v>
      </c>
      <c r="Y67" s="59" t="s">
        <v>228</v>
      </c>
      <c r="Z67" s="82" t="str">
        <f t="shared" si="20"/>
        <v>N/A</v>
      </c>
      <c r="AF67" s="65" t="str">
        <f>"+Issue of stock"</f>
        <v>+Issue of stock</v>
      </c>
      <c r="AG67" s="65">
        <v>0</v>
      </c>
    </row>
    <row r="68" spans="17:33">
      <c r="Q68" s="55" t="s">
        <v>249</v>
      </c>
      <c r="R68" s="59">
        <v>3192000</v>
      </c>
      <c r="S68" s="59">
        <v>-479000</v>
      </c>
      <c r="T68" s="82">
        <f t="shared" si="17"/>
        <v>-1.1500626566416039</v>
      </c>
      <c r="U68" s="59">
        <v>2550000</v>
      </c>
      <c r="V68" s="82">
        <f t="shared" si="18"/>
        <v>-6.3235908141962422</v>
      </c>
      <c r="W68" s="59">
        <v>2910000</v>
      </c>
      <c r="X68" s="82">
        <f t="shared" si="19"/>
        <v>0.14117647058823524</v>
      </c>
      <c r="Y68" s="59">
        <v>751000</v>
      </c>
      <c r="Z68" s="82">
        <f t="shared" si="20"/>
        <v>-0.74192439862542958</v>
      </c>
      <c r="AF68" s="65" t="s">
        <v>250</v>
      </c>
      <c r="AG68" s="65">
        <v>0</v>
      </c>
    </row>
    <row r="69" spans="17:33" ht="15.95">
      <c r="Q69" s="61"/>
      <c r="R69" s="59"/>
      <c r="S69" s="59"/>
      <c r="T69" s="82"/>
      <c r="U69" s="59"/>
      <c r="V69" s="82"/>
      <c r="W69" s="59"/>
      <c r="X69" s="82"/>
      <c r="Y69" s="59"/>
      <c r="Z69" s="82"/>
      <c r="AF69" s="65" t="s">
        <v>251</v>
      </c>
      <c r="AG69" s="65">
        <v>0</v>
      </c>
    </row>
    <row r="70" spans="17:33">
      <c r="Q70" s="62" t="s">
        <v>252</v>
      </c>
      <c r="R70" s="59"/>
      <c r="S70" s="59"/>
      <c r="T70" s="82"/>
      <c r="U70" s="59"/>
      <c r="V70" s="82"/>
      <c r="W70" s="59"/>
      <c r="X70" s="82"/>
      <c r="Y70" s="59"/>
      <c r="Z70" s="82"/>
      <c r="AF70" s="65" t="s">
        <v>253</v>
      </c>
      <c r="AG70" s="65">
        <v>0</v>
      </c>
    </row>
    <row r="71" spans="17:33" ht="15" customHeight="1">
      <c r="Q71" s="54" t="s">
        <v>254</v>
      </c>
      <c r="R71" s="59">
        <v>-667000</v>
      </c>
      <c r="S71" s="59">
        <v>-695000</v>
      </c>
      <c r="T71" s="82">
        <f>IFERROR(S71/R71-1,"N/A")</f>
        <v>4.1979010494752611E-2</v>
      </c>
      <c r="U71" s="59">
        <v>-504000</v>
      </c>
      <c r="V71" s="82">
        <f>IFERROR(U71/S71-1,"N/A")</f>
        <v>-0.27482014388489207</v>
      </c>
      <c r="W71" s="59">
        <v>-540000</v>
      </c>
      <c r="X71" s="82">
        <f>IFERROR(W71/U71-1,"N/A")</f>
        <v>7.1428571428571397E-2</v>
      </c>
      <c r="Y71" s="59">
        <v>-477000</v>
      </c>
      <c r="Z71" s="82">
        <f>IFERROR(Y71/W71-1,"N/A")</f>
        <v>-0.1166666666666667</v>
      </c>
      <c r="AF71" s="67" t="s">
        <v>255</v>
      </c>
      <c r="AG71" s="67">
        <f>AG66+AG67+AG68+AG69+AG70</f>
        <v>0</v>
      </c>
    </row>
    <row r="72" spans="17:33" ht="15" customHeight="1">
      <c r="Q72" s="54" t="s">
        <v>256</v>
      </c>
      <c r="R72" s="59" t="s">
        <v>228</v>
      </c>
      <c r="S72" s="59" t="s">
        <v>228</v>
      </c>
      <c r="T72" s="82" t="str">
        <f>IFERROR(S72/R72-1,"N/A")</f>
        <v>N/A</v>
      </c>
      <c r="U72" s="59" t="s">
        <v>228</v>
      </c>
      <c r="V72" s="82" t="str">
        <f>IFERROR(U72/S72-1,"N/A")</f>
        <v>N/A</v>
      </c>
      <c r="W72" s="59" t="s">
        <v>228</v>
      </c>
      <c r="X72" s="82" t="str">
        <f>IFERROR(W72/U72-1,"N/A")</f>
        <v>N/A</v>
      </c>
      <c r="Y72" s="59" t="s">
        <v>228</v>
      </c>
      <c r="Z72" s="82" t="str">
        <f>IFERROR(Y72/W72-1,"N/A")</f>
        <v>N/A</v>
      </c>
      <c r="AF72" s="116" t="s">
        <v>257</v>
      </c>
      <c r="AG72" s="117">
        <f>AG65+AG71</f>
        <v>0</v>
      </c>
    </row>
    <row r="73" spans="17:33">
      <c r="Q73" s="54" t="s">
        <v>258</v>
      </c>
      <c r="R73" s="59">
        <v>233000</v>
      </c>
      <c r="S73" s="59">
        <v>1217000</v>
      </c>
      <c r="T73" s="82">
        <f>IFERROR(S73/R73-1,"N/A")</f>
        <v>4.2231759656652361</v>
      </c>
      <c r="U73" s="59" t="s">
        <v>228</v>
      </c>
      <c r="V73" s="82" t="str">
        <f>IFERROR(U73/S73-1,"N/A")</f>
        <v>N/A</v>
      </c>
      <c r="W73" s="59">
        <v>195000</v>
      </c>
      <c r="X73" s="82" t="str">
        <f>IFERROR(W73/U73-1,"N/A")</f>
        <v>N/A</v>
      </c>
      <c r="Y73" s="59">
        <v>100000</v>
      </c>
      <c r="Z73" s="82">
        <f>IFERROR(Y73/W73-1,"N/A")</f>
        <v>-0.48717948717948723</v>
      </c>
      <c r="AF73" s="116"/>
      <c r="AG73" s="118"/>
    </row>
    <row r="74" spans="17:33">
      <c r="Q74" s="54" t="s">
        <v>259</v>
      </c>
      <c r="R74" s="59">
        <v>10000</v>
      </c>
      <c r="S74" s="59">
        <v>-27000</v>
      </c>
      <c r="T74" s="82">
        <f>IFERROR(S74/R74-1,"N/A")</f>
        <v>-3.7</v>
      </c>
      <c r="U74" s="59">
        <v>53000</v>
      </c>
      <c r="V74" s="82">
        <f>IFERROR(U74/S74-1,"N/A")</f>
        <v>-2.9629629629629628</v>
      </c>
      <c r="W74" s="59">
        <v>-11000</v>
      </c>
      <c r="X74" s="82">
        <f>IFERROR(W74/U74-1,"N/A")</f>
        <v>-1.2075471698113207</v>
      </c>
      <c r="Y74" s="59">
        <v>-27000</v>
      </c>
      <c r="Z74" s="82">
        <f>IFERROR(Y74/W74-1,"N/A")</f>
        <v>1.4545454545454546</v>
      </c>
    </row>
    <row r="75" spans="17:33">
      <c r="Q75" s="55" t="s">
        <v>260</v>
      </c>
      <c r="R75" s="59">
        <v>-424000</v>
      </c>
      <c r="S75" s="59">
        <v>495000</v>
      </c>
      <c r="T75" s="82">
        <f>IFERROR(S75/R75-1,"N/A")</f>
        <v>-2.1674528301886795</v>
      </c>
      <c r="U75" s="59">
        <v>-451000</v>
      </c>
      <c r="V75" s="82">
        <f>IFERROR(U75/S75-1,"N/A")</f>
        <v>-1.911111111111111</v>
      </c>
      <c r="W75" s="59">
        <v>-356000</v>
      </c>
      <c r="X75" s="82">
        <f>IFERROR(W75/U75-1,"N/A")</f>
        <v>-0.21064301552106435</v>
      </c>
      <c r="Y75" s="59">
        <v>-404000</v>
      </c>
      <c r="Z75" s="82">
        <f>IFERROR(Y75/W75-1,"N/A")</f>
        <v>0.13483146067415741</v>
      </c>
    </row>
    <row r="76" spans="17:33" ht="15.95">
      <c r="Q76" s="61"/>
      <c r="R76" s="59"/>
      <c r="S76" s="59"/>
      <c r="T76" s="82"/>
      <c r="U76" s="59"/>
      <c r="V76" s="82"/>
      <c r="W76" s="59"/>
      <c r="X76" s="82"/>
      <c r="Y76" s="59"/>
      <c r="Z76" s="82"/>
    </row>
    <row r="77" spans="17:33">
      <c r="Q77" s="62" t="s">
        <v>261</v>
      </c>
      <c r="R77" s="59"/>
      <c r="S77" s="59"/>
      <c r="T77" s="82"/>
      <c r="U77" s="59"/>
      <c r="V77" s="82"/>
      <c r="W77" s="59"/>
      <c r="X77" s="82"/>
      <c r="Y77" s="59"/>
      <c r="Z77" s="82"/>
    </row>
    <row r="78" spans="17:33">
      <c r="Q78" s="54" t="s">
        <v>262</v>
      </c>
      <c r="R78" s="59" t="s">
        <v>228</v>
      </c>
      <c r="S78" s="59">
        <v>994000</v>
      </c>
      <c r="T78" s="82" t="str">
        <f t="shared" ref="T78:T85" si="21">IFERROR(S78/R78-1,"N/A")</f>
        <v>N/A</v>
      </c>
      <c r="U78" s="59">
        <v>3000</v>
      </c>
      <c r="V78" s="82">
        <f t="shared" ref="V78:V85" si="22">IFERROR(U78/S78-1,"N/A")</f>
        <v>-0.99698189134808857</v>
      </c>
      <c r="W78" s="59">
        <v>3000</v>
      </c>
      <c r="X78" s="82">
        <f t="shared" ref="X78:X85" si="23">IFERROR(W78/U78-1,"N/A")</f>
        <v>0</v>
      </c>
      <c r="Y78" s="59">
        <v>664000</v>
      </c>
      <c r="Z78" s="82">
        <f t="shared" ref="Z78:Z85" si="24">IFERROR(Y78/W78-1,"N/A")</f>
        <v>220.33333333333334</v>
      </c>
    </row>
    <row r="79" spans="17:33">
      <c r="Q79" s="54" t="s">
        <v>263</v>
      </c>
      <c r="R79" s="59">
        <v>-679000</v>
      </c>
      <c r="S79" s="59" t="s">
        <v>228</v>
      </c>
      <c r="T79" s="82" t="str">
        <f t="shared" si="21"/>
        <v>N/A</v>
      </c>
      <c r="U79" s="59">
        <v>-500000</v>
      </c>
      <c r="V79" s="82" t="str">
        <f t="shared" si="22"/>
        <v>N/A</v>
      </c>
      <c r="W79" s="59">
        <v>-500000</v>
      </c>
      <c r="X79" s="82">
        <f t="shared" si="23"/>
        <v>0</v>
      </c>
      <c r="Y79" s="59">
        <v>-500000</v>
      </c>
      <c r="Z79" s="82">
        <f t="shared" si="24"/>
        <v>0</v>
      </c>
    </row>
    <row r="80" spans="17:33">
      <c r="Q80" s="54" t="s">
        <v>264</v>
      </c>
      <c r="R80" s="59">
        <v>-916000</v>
      </c>
      <c r="S80" s="59">
        <v>-944000</v>
      </c>
      <c r="T80" s="82">
        <f t="shared" si="21"/>
        <v>3.0567685589519611E-2</v>
      </c>
      <c r="U80" s="59">
        <v>-842000</v>
      </c>
      <c r="V80" s="82">
        <f t="shared" si="22"/>
        <v>-0.10805084745762716</v>
      </c>
      <c r="W80" s="59">
        <v>-880000</v>
      </c>
      <c r="X80" s="82">
        <f t="shared" si="23"/>
        <v>4.5130641330166199E-2</v>
      </c>
      <c r="Y80" s="59">
        <v>-1056000</v>
      </c>
      <c r="Z80" s="82">
        <f t="shared" si="24"/>
        <v>0.19999999999999996</v>
      </c>
    </row>
    <row r="81" spans="17:26">
      <c r="Q81" s="54" t="s">
        <v>265</v>
      </c>
      <c r="R81" s="59">
        <v>-400000</v>
      </c>
      <c r="S81" s="59">
        <v>-486000</v>
      </c>
      <c r="T81" s="82">
        <f t="shared" si="21"/>
        <v>0.21500000000000008</v>
      </c>
      <c r="U81" s="59" t="s">
        <v>228</v>
      </c>
      <c r="V81" s="82" t="str">
        <f t="shared" si="22"/>
        <v>N/A</v>
      </c>
      <c r="W81" s="59">
        <v>-100000</v>
      </c>
      <c r="X81" s="82" t="str">
        <f t="shared" si="23"/>
        <v>N/A</v>
      </c>
      <c r="Y81" s="59">
        <v>-140000</v>
      </c>
      <c r="Z81" s="82">
        <f t="shared" si="24"/>
        <v>0.39999999999999991</v>
      </c>
    </row>
    <row r="82" spans="17:26">
      <c r="Q82" s="54" t="s">
        <v>266</v>
      </c>
      <c r="R82" s="59">
        <v>-1032000</v>
      </c>
      <c r="S82" s="59">
        <v>-2530000</v>
      </c>
      <c r="T82" s="82">
        <f t="shared" si="21"/>
        <v>1.4515503875968991</v>
      </c>
      <c r="U82" s="59">
        <v>-29000</v>
      </c>
      <c r="V82" s="82">
        <f t="shared" si="22"/>
        <v>-0.98853754940711458</v>
      </c>
      <c r="W82" s="59">
        <v>-35000</v>
      </c>
      <c r="X82" s="82">
        <f t="shared" si="23"/>
        <v>0.2068965517241379</v>
      </c>
      <c r="Y82" s="59">
        <v>-43000</v>
      </c>
      <c r="Z82" s="82">
        <f t="shared" si="24"/>
        <v>0.22857142857142865</v>
      </c>
    </row>
    <row r="83" spans="17:26">
      <c r="Q83" s="54" t="s">
        <v>267</v>
      </c>
      <c r="R83" s="59">
        <v>27000</v>
      </c>
      <c r="S83" s="59">
        <v>25000</v>
      </c>
      <c r="T83" s="82">
        <f t="shared" si="21"/>
        <v>-7.407407407407407E-2</v>
      </c>
      <c r="U83" s="59">
        <v>25000</v>
      </c>
      <c r="V83" s="82">
        <f t="shared" si="22"/>
        <v>0</v>
      </c>
      <c r="W83" s="59">
        <v>24000</v>
      </c>
      <c r="X83" s="82">
        <f t="shared" si="23"/>
        <v>-4.0000000000000036E-2</v>
      </c>
      <c r="Y83" s="59">
        <v>39000</v>
      </c>
      <c r="Z83" s="82">
        <f t="shared" si="24"/>
        <v>0.625</v>
      </c>
    </row>
    <row r="84" spans="17:26">
      <c r="Q84" s="54" t="s">
        <v>268</v>
      </c>
      <c r="R84" s="59">
        <v>9000</v>
      </c>
      <c r="S84" s="59">
        <v>-22000</v>
      </c>
      <c r="T84" s="82">
        <f t="shared" si="21"/>
        <v>-3.4444444444444446</v>
      </c>
      <c r="U84" s="59">
        <v>-82000</v>
      </c>
      <c r="V84" s="82">
        <f t="shared" si="22"/>
        <v>2.7272727272727271</v>
      </c>
      <c r="W84" s="59">
        <v>-71000</v>
      </c>
      <c r="X84" s="82">
        <f t="shared" si="23"/>
        <v>-0.13414634146341464</v>
      </c>
      <c r="Y84" s="59">
        <v>-67000</v>
      </c>
      <c r="Z84" s="82">
        <f t="shared" si="24"/>
        <v>-5.633802816901412E-2</v>
      </c>
    </row>
    <row r="85" spans="17:26">
      <c r="Q85" s="55" t="s">
        <v>269</v>
      </c>
      <c r="R85" s="59">
        <v>-2991000</v>
      </c>
      <c r="S85" s="59">
        <v>-2963000</v>
      </c>
      <c r="T85" s="82">
        <f t="shared" si="21"/>
        <v>-9.3614175860916582E-3</v>
      </c>
      <c r="U85" s="59">
        <v>-1425000</v>
      </c>
      <c r="V85" s="82">
        <f t="shared" si="22"/>
        <v>-0.51906851164360446</v>
      </c>
      <c r="W85" s="59">
        <v>-1559000</v>
      </c>
      <c r="X85" s="82">
        <f t="shared" si="23"/>
        <v>9.4035087719298138E-2</v>
      </c>
      <c r="Y85" s="59">
        <v>-1103000</v>
      </c>
      <c r="Z85" s="82">
        <f t="shared" si="24"/>
        <v>-0.29249518922386142</v>
      </c>
    </row>
    <row r="86" spans="17:26" ht="15.95">
      <c r="Q86" s="61"/>
      <c r="R86" s="59"/>
      <c r="S86" s="59"/>
      <c r="T86" s="82"/>
      <c r="U86" s="59"/>
      <c r="V86" s="82"/>
      <c r="W86" s="59"/>
      <c r="X86" s="82"/>
      <c r="Y86" s="59"/>
      <c r="Z86" s="82"/>
    </row>
    <row r="87" spans="17:26">
      <c r="Q87" s="62" t="s">
        <v>270</v>
      </c>
      <c r="R87" s="59"/>
      <c r="S87" s="59"/>
      <c r="T87" s="82"/>
      <c r="U87" s="59"/>
      <c r="V87" s="82"/>
      <c r="W87" s="59"/>
      <c r="X87" s="82"/>
      <c r="Y87" s="59"/>
      <c r="Z87" s="82"/>
    </row>
    <row r="88" spans="17:26">
      <c r="Q88" s="54" t="s">
        <v>271</v>
      </c>
      <c r="R88" s="59">
        <v>-135000</v>
      </c>
      <c r="S88" s="59">
        <v>-56000</v>
      </c>
      <c r="T88" s="82">
        <f>IFERROR(S88/R88-1,"N/A")</f>
        <v>-0.58518518518518525</v>
      </c>
      <c r="U88" s="59">
        <v>-43000</v>
      </c>
      <c r="V88" s="82">
        <f>IFERROR(U88/S88-1,"N/A")</f>
        <v>-0.2321428571428571</v>
      </c>
      <c r="W88" s="59">
        <v>-131000</v>
      </c>
      <c r="X88" s="82">
        <f>IFERROR(W88/U88-1,"N/A")</f>
        <v>2.0465116279069768</v>
      </c>
      <c r="Y88" s="59">
        <v>-81000</v>
      </c>
      <c r="Z88" s="82">
        <f>IFERROR(Y88/W88-1,"N/A")</f>
        <v>-0.38167938931297707</v>
      </c>
    </row>
    <row r="89" spans="17:26">
      <c r="Q89" s="55" t="s">
        <v>272</v>
      </c>
      <c r="R89" s="59">
        <v>2633000</v>
      </c>
      <c r="S89" s="59">
        <v>-40000</v>
      </c>
      <c r="T89" s="82">
        <f>IFERROR(S89/R89-1,"N/A")</f>
        <v>-1.0151917964299277</v>
      </c>
      <c r="U89" s="59">
        <v>2056000</v>
      </c>
      <c r="V89" s="82">
        <f>IFERROR(U89/S89-1,"N/A")</f>
        <v>-52.4</v>
      </c>
      <c r="W89" s="59">
        <v>2423000</v>
      </c>
      <c r="X89" s="82">
        <f>IFERROR(W89/U89-1,"N/A")</f>
        <v>0.17850194552529186</v>
      </c>
      <c r="Y89" s="59">
        <v>266000</v>
      </c>
      <c r="Z89" s="82">
        <f>IFERROR(Y89/W89-1,"N/A")</f>
        <v>-0.89021873710276522</v>
      </c>
    </row>
    <row r="90" spans="17:26">
      <c r="Q90" s="54" t="s">
        <v>273</v>
      </c>
      <c r="R90" s="59">
        <v>3828000</v>
      </c>
      <c r="S90" s="59">
        <v>1220000</v>
      </c>
      <c r="T90" s="82">
        <f>IFERROR(S90/R90-1,"N/A")</f>
        <v>-0.68129571577847448</v>
      </c>
      <c r="U90" s="59">
        <v>798000</v>
      </c>
      <c r="V90" s="82">
        <f>IFERROR(U90/S90-1,"N/A")</f>
        <v>-0.34590163934426232</v>
      </c>
      <c r="W90" s="59">
        <v>1431000</v>
      </c>
      <c r="X90" s="82">
        <f>IFERROR(W90/U90-1,"N/A")</f>
        <v>0.79323308270676685</v>
      </c>
      <c r="Y90" s="59">
        <v>2130000</v>
      </c>
      <c r="Z90" s="82">
        <f>IFERROR(Y90/W90-1,"N/A")</f>
        <v>0.48846960167714881</v>
      </c>
    </row>
    <row r="91" spans="17:26">
      <c r="Q91" s="54" t="s">
        <v>274</v>
      </c>
      <c r="R91" s="59">
        <v>3828000</v>
      </c>
      <c r="S91" s="59">
        <v>798000</v>
      </c>
      <c r="T91" s="82">
        <f>IFERROR(S91/R91-1,"N/A")</f>
        <v>-0.79153605015673978</v>
      </c>
      <c r="U91" s="59">
        <v>1431000</v>
      </c>
      <c r="V91" s="82">
        <f>IFERROR(U91/S91-1,"N/A")</f>
        <v>0.79323308270676685</v>
      </c>
      <c r="W91" s="59">
        <v>2455000</v>
      </c>
      <c r="X91" s="82">
        <f>IFERROR(W91/U91-1,"N/A")</f>
        <v>0.71558350803633819</v>
      </c>
      <c r="Y91" s="59">
        <v>1577000</v>
      </c>
      <c r="Z91" s="82">
        <f>IFERROR(Y91/W91-1,"N/A")</f>
        <v>-0.35763747454175154</v>
      </c>
    </row>
    <row r="92" spans="17:26" ht="15.95">
      <c r="Q92" s="61"/>
      <c r="R92" s="57"/>
      <c r="S92" s="57"/>
    </row>
    <row r="93" spans="17:26" ht="15.95" thickBot="1"/>
    <row r="94" spans="17:26">
      <c r="Q94" s="55" t="s">
        <v>275</v>
      </c>
      <c r="R94" s="69">
        <v>2021</v>
      </c>
      <c r="S94" s="70">
        <v>2022</v>
      </c>
      <c r="T94" s="69">
        <v>2023</v>
      </c>
      <c r="U94" s="70">
        <v>2024</v>
      </c>
      <c r="V94" s="69">
        <v>2025</v>
      </c>
    </row>
    <row r="95" spans="17:26">
      <c r="Q95" s="37" t="s">
        <v>276</v>
      </c>
      <c r="R95" s="37">
        <v>178600</v>
      </c>
      <c r="S95" s="37">
        <v>178500</v>
      </c>
      <c r="T95" s="37">
        <v>178500</v>
      </c>
      <c r="U95" s="37">
        <v>178500</v>
      </c>
      <c r="V95" s="37">
        <v>178600</v>
      </c>
      <c r="W95" s="37" t="s">
        <v>277</v>
      </c>
    </row>
    <row r="96" spans="17:26">
      <c r="Q96" s="37" t="s">
        <v>278</v>
      </c>
      <c r="R96" s="37">
        <v>310</v>
      </c>
      <c r="S96" s="37">
        <v>127</v>
      </c>
      <c r="T96">
        <v>185</v>
      </c>
      <c r="U96">
        <v>240</v>
      </c>
      <c r="V96" s="37">
        <v>193</v>
      </c>
      <c r="W96" s="37" t="s">
        <v>279</v>
      </c>
    </row>
    <row r="97" spans="17:23">
      <c r="Q97" s="37" t="s">
        <v>280</v>
      </c>
      <c r="R97" s="71">
        <v>526000</v>
      </c>
      <c r="S97" s="71">
        <v>590000</v>
      </c>
      <c r="T97" s="71">
        <v>125000</v>
      </c>
      <c r="U97" s="71">
        <v>125000</v>
      </c>
      <c r="V97" s="71">
        <v>357000</v>
      </c>
      <c r="W97" s="37" t="s">
        <v>281</v>
      </c>
    </row>
    <row r="98" spans="17:23">
      <c r="Q98" s="37" t="s">
        <v>282</v>
      </c>
      <c r="R98" s="72">
        <f>R97/R95</f>
        <v>2.9451287793952967</v>
      </c>
      <c r="S98" s="72">
        <f>S97/S95</f>
        <v>3.3053221288515404</v>
      </c>
      <c r="T98" s="72">
        <f>T97/T95</f>
        <v>0.70028011204481788</v>
      </c>
      <c r="U98" s="72">
        <f>U97/U95</f>
        <v>0.70028011204481788</v>
      </c>
      <c r="V98" s="72">
        <f>V97/V95</f>
        <v>1.9988801791713326</v>
      </c>
      <c r="W98" s="37" t="s">
        <v>283</v>
      </c>
    </row>
    <row r="107" spans="17:23" ht="15" customHeight="1"/>
    <row r="108" spans="17:23" ht="15" customHeight="1"/>
  </sheetData>
  <mergeCells count="85">
    <mergeCell ref="N38:P38"/>
    <mergeCell ref="N39:P39"/>
    <mergeCell ref="K40:P41"/>
    <mergeCell ref="N50:P50"/>
    <mergeCell ref="K42:L42"/>
    <mergeCell ref="N42:P42"/>
    <mergeCell ref="K43:L43"/>
    <mergeCell ref="N43:P43"/>
    <mergeCell ref="K44:L44"/>
    <mergeCell ref="N44:P44"/>
    <mergeCell ref="K45:P46"/>
    <mergeCell ref="K47:P47"/>
    <mergeCell ref="K48:P48"/>
    <mergeCell ref="K49:L49"/>
    <mergeCell ref="N49:P49"/>
    <mergeCell ref="R32:R33"/>
    <mergeCell ref="S32:S33"/>
    <mergeCell ref="Q32:Q33"/>
    <mergeCell ref="N36:P36"/>
    <mergeCell ref="N37:P37"/>
    <mergeCell ref="N35:P35"/>
    <mergeCell ref="A34:P34"/>
    <mergeCell ref="A29:P29"/>
    <mergeCell ref="N30:P30"/>
    <mergeCell ref="N31:P31"/>
    <mergeCell ref="N32:P32"/>
    <mergeCell ref="N33:P33"/>
    <mergeCell ref="N14:P14"/>
    <mergeCell ref="N15:P15"/>
    <mergeCell ref="N28:P28"/>
    <mergeCell ref="N17:P17"/>
    <mergeCell ref="A18:P18"/>
    <mergeCell ref="N19:P19"/>
    <mergeCell ref="N20:P20"/>
    <mergeCell ref="N21:P21"/>
    <mergeCell ref="N22:P22"/>
    <mergeCell ref="A23:P23"/>
    <mergeCell ref="N24:P24"/>
    <mergeCell ref="A25:P25"/>
    <mergeCell ref="N26:P26"/>
    <mergeCell ref="N27:P27"/>
    <mergeCell ref="N16:P16"/>
    <mergeCell ref="A11:P11"/>
    <mergeCell ref="N12:P12"/>
    <mergeCell ref="A13:P13"/>
    <mergeCell ref="N10:P10"/>
    <mergeCell ref="K5:P5"/>
    <mergeCell ref="N7:P7"/>
    <mergeCell ref="N8:P8"/>
    <mergeCell ref="N9:P9"/>
    <mergeCell ref="A6:P6"/>
    <mergeCell ref="U5:U6"/>
    <mergeCell ref="Y57:Y58"/>
    <mergeCell ref="AF72:AF73"/>
    <mergeCell ref="AG72:AG73"/>
    <mergeCell ref="Q57:Q58"/>
    <mergeCell ref="R57:R58"/>
    <mergeCell ref="S57:S58"/>
    <mergeCell ref="U57:U58"/>
    <mergeCell ref="W57:W58"/>
    <mergeCell ref="Q5:Q6"/>
    <mergeCell ref="R5:R6"/>
    <mergeCell ref="T5:T6"/>
    <mergeCell ref="AC5:AC6"/>
    <mergeCell ref="W5:W6"/>
    <mergeCell ref="Z5:Z6"/>
    <mergeCell ref="S5:S6"/>
    <mergeCell ref="T32:T33"/>
    <mergeCell ref="V32:V33"/>
    <mergeCell ref="X32:X33"/>
    <mergeCell ref="T57:T58"/>
    <mergeCell ref="V57:V58"/>
    <mergeCell ref="X57:X58"/>
    <mergeCell ref="U32:U33"/>
    <mergeCell ref="W32:W33"/>
    <mergeCell ref="AD5:AD6"/>
    <mergeCell ref="AE5:AE6"/>
    <mergeCell ref="Z32:Z33"/>
    <mergeCell ref="Z57:Z58"/>
    <mergeCell ref="V5:V6"/>
    <mergeCell ref="Y5:Y6"/>
    <mergeCell ref="AB5:AB6"/>
    <mergeCell ref="X5:X6"/>
    <mergeCell ref="AA5:AA6"/>
    <mergeCell ref="Y32:Y33"/>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DUBREUIL Mattis</dc:creator>
  <cp:keywords/>
  <dc:description/>
  <cp:lastModifiedBy/>
  <cp:revision/>
  <dcterms:created xsi:type="dcterms:W3CDTF">2026-04-15T18:46:34Z</dcterms:created>
  <dcterms:modified xsi:type="dcterms:W3CDTF">2026-04-21T08:49:33Z</dcterms:modified>
  <cp:category/>
  <cp:contentStatus/>
</cp:coreProperties>
</file>